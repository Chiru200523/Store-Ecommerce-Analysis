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D35CC539-692B-4F10-8B7D-0AF749E3D3BC}" xr6:coauthVersionLast="47" xr6:coauthVersionMax="47" xr10:uidLastSave="{00000000-0000-0000-0000-000000000000}"/>
  <bookViews>
    <workbookView xWindow="-108" yWindow="-108" windowWidth="23256" windowHeight="13176" firstSheet="5" activeTab="12" xr2:uid="{346724B3-1C49-40AE-AA36-C77CF5D6DD09}"/>
  </bookViews>
  <sheets>
    <sheet name="Sheet2" sheetId="6" r:id="rId1"/>
    <sheet name="How our customers like to buy" sheetId="7" r:id="rId2"/>
    <sheet name="Sheet3" sheetId="8" r:id="rId3"/>
    <sheet name="Sheet4" sheetId="9" r:id="rId4"/>
    <sheet name="Sheet5" sheetId="10" r:id="rId5"/>
    <sheet name="Sheet6" sheetId="11" r:id="rId6"/>
    <sheet name="Sheet1" sheetId="12" r:id="rId7"/>
    <sheet name="Sheet8" sheetId="14" r:id="rId8"/>
    <sheet name="Sheet9" sheetId="15" r:id="rId9"/>
    <sheet name="Data" sheetId="1" r:id="rId10"/>
    <sheet name="Questions &amp; KPIs" sheetId="2" r:id="rId11"/>
    <sheet name="Pivots" sheetId="5" r:id="rId12"/>
    <sheet name="Dashboard" sheetId="3" r:id="rId13"/>
    <sheet name="Logo &amp; Colors" sheetId="4" r:id="rId14"/>
  </sheets>
  <definedNames>
    <definedName name="_xlchart.v5.0" hidden="1">Sheet1!$H$7:$I$7</definedName>
    <definedName name="_xlchart.v5.1" hidden="1">Sheet1!$H$8:$I$67</definedName>
    <definedName name="_xlchart.v5.2" hidden="1">Sheet1!$J$7</definedName>
    <definedName name="_xlchart.v5.3" hidden="1">Sheet1!$J$8:$J$67</definedName>
    <definedName name="_xlchart.v5.4" hidden="1">Sheet1!$H$7:$I$7</definedName>
    <definedName name="_xlchart.v5.5" hidden="1">Sheet1!$H$8:$I$67</definedName>
    <definedName name="_xlchart.v5.6" hidden="1">Sheet1!$J$7</definedName>
    <definedName name="_xlchart.v5.7" hidden="1">Sheet1!$J$8:$J$67</definedName>
    <definedName name="Slicer_Order_Mode">#N/A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6" l="1"/>
  <c r="K4" i="6"/>
  <c r="L4" i="6"/>
  <c r="I4" i="6"/>
  <c r="H6" i="6"/>
  <c r="I6" i="6"/>
  <c r="J6" i="6"/>
  <c r="K6" i="6"/>
  <c r="L6" i="6"/>
  <c r="H7" i="6"/>
  <c r="I7" i="6"/>
  <c r="J7" i="6"/>
  <c r="K7" i="6"/>
  <c r="L7" i="6"/>
  <c r="H8" i="6"/>
  <c r="I8" i="6"/>
  <c r="J8" i="6"/>
  <c r="K8" i="6"/>
  <c r="L8" i="6"/>
  <c r="H9" i="6"/>
  <c r="I9" i="6"/>
  <c r="J9" i="6"/>
  <c r="K9" i="6"/>
  <c r="L9" i="6"/>
  <c r="I5" i="6"/>
  <c r="J5" i="6"/>
  <c r="K5" i="6"/>
  <c r="L5" i="6"/>
  <c r="H5" i="6"/>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c r="O2266" i="1" a="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c r="O2217" i="1" a="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c r="O1684" i="1" a="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c r="O1579" i="1" a="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c r="O1548" i="1" a="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c r="O864" i="1" a="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c r="O573" i="1" a="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c r="O528" i="1" a="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 r="K4" i="5"/>
  <c r="J4" i="5"/>
  <c r="I4" i="5"/>
  <c r="H4"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<sst xmlns="http://schemas.openxmlformats.org/spreadsheetml/2006/main" count="14991" uniqueCount="2568">
  <si>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</si>
  <si>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</si>
  <si>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</si>
  <si>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</si>
  <si>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</si>
  <si>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</si>
  <si>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</si>
  <si>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</si>
  <si>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</si>
  <si>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</si>
  <si>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</si>
  <si>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</si>
  <si>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</si>
  <si>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</si>
  <si>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</si>
  <si>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</si>
  <si>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</si>
  <si>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</si>
  <si>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</si>
  <si>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</si>
  <si>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</si>
  <si>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</si>
  <si>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</si>
  <si>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</si>
  <si>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</si>
  <si>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</si>
  <si>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</si>
  <si>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</si>
  <si>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</si>
  <si>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</si>
  <si>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</si>
  <si>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</si>
  <si>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</si>
  <si>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</si>
  <si>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</si>
  <si>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</si>
  <si>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</si>
  <si>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</si>
  <si>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</si>
  <si>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</si>
  <si>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</si>
  <si>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</si>
  <si>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</si>
  <si>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</si>
  <si>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</si>
  <si>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</si>
  <si>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</si>
  <si>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</si>
  <si>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</si>
  <si>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</si>
  <si>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</si>
  <si>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</si>
  <si>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</si>
  <si>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</si>
  <si>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</si>
  <si>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</si>
  <si>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</si>
  <si>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</si>
  <si>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</si>
  <si>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</si>
  <si>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</si>
  <si>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</si>
  <si>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</si>
  <si>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</si>
  <si>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</si>
  <si>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</si>
  <si>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</si>
  <si>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</si>
  <si>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</si>
  <si>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</si>
  <si>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</si>
  <si>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</si>
  <si>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</si>
  <si>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</si>
  <si>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</si>
  <si>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</si>
  <si>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</si>
  <si>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</si>
  <si>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</si>
  <si>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</si>
  <si>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</si>
  <si>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</si>
  <si>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</si>
  <si>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</si>
  <si>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</si>
  <si>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</si>
  <si>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</si>
  <si>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</si>
  <si>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</si>
  <si>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</si>
  <si>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</si>
  <si>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</si>
  <si>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</si>
  <si>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</si>
  <si>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</si>
  <si>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</si>
  <si>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</si>
  <si>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</si>
  <si>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</si>
  <si>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</si>
  <si>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</si>
  <si>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</si>
  <si>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</si>
  <si>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</si>
  <si>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</si>
  <si>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</si>
  <si>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</si>
  <si>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</si>
  <si>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</si>
  <si>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</si>
  <si>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</si>
  <si>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</si>
  <si>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</si>
  <si>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</si>
  <si>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</si>
  <si>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</si>
  <si>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</si>
  <si>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</si>
  <si>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</si>
  <si>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</si>
  <si>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</si>
  <si>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</si>
  <si>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</si>
  <si>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</si>
  <si>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</si>
  <si>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</si>
  <si>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</si>
  <si>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</si>
  <si>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</si>
  <si>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</si>
  <si>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</si>
  <si>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</si>
  <si>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</si>
  <si>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</si>
  <si>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</si>
  <si>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</si>
  <si>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</si>
  <si>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</si>
  <si>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</si>
  <si>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</si>
  <si>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</si>
  <si>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</si>
  <si>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</si>
  <si>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</si>
  <si>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</si>
  <si>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</si>
  <si>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</si>
  <si>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</si>
  <si>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</si>
  <si>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</si>
  <si>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</si>
  <si>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</si>
  <si>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</si>
  <si>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</si>
  <si>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</si>
  <si>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</si>
  <si>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</si>
  <si>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</si>
  <si>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</si>
  <si>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</si>
  <si>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</si>
  <si>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</si>
  <si>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</si>
  <si>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</si>
  <si>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</si>
  <si>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</si>
  <si>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</si>
  <si>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</si>
  <si>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</si>
  <si>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</si>
  <si>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</si>
  <si>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</si>
  <si>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</si>
  <si>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</si>
  <si>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</si>
  <si>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</si>
  <si>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</si>
  <si>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</si>
  <si>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</si>
  <si>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</si>
  <si>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</si>
  <si>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</si>
  <si>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</si>
  <si>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</si>
  <si>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</si>
  <si>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</si>
  <si>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</si>
  <si>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</si>
  <si>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</si>
  <si>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</si>
  <si>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</si>
  <si>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</si>
  <si>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</si>
  <si>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</si>
  <si>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</si>
  <si>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</si>
  <si>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</si>
  <si>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</si>
  <si>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</si>
  <si>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</si>
  <si>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</si>
  <si>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</si>
  <si>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</si>
  <si>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</si>
  <si>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</si>
  <si>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</si>
  <si>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</si>
  <si>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</si>
  <si>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</si>
  <si>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</si>
  <si>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</si>
  <si>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</si>
  <si>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</si>
  <si>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</si>
  <si>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</si>
  <si>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</si>
  <si>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</si>
  <si>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</si>
  <si>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</si>
  <si>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</si>
  <si>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</si>
  <si>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</si>
  <si>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</si>
  <si>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</si>
  <si>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</si>
  <si>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</si>
  <si>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</si>
  <si>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</si>
  <si>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</si>
  <si>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</si>
  <si>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</si>
  <si>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</si>
  <si>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</si>
  <si>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</si>
  <si>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</si>
  <si>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</si>
  <si>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</si>
  <si>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</si>
  <si>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</si>
  <si>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</si>
  <si>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</si>
  <si>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</si>
  <si>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</si>
  <si>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</si>
  <si>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</si>
  <si>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</si>
  <si>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</si>
  <si>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</si>
  <si>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</si>
  <si>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</si>
  <si>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</si>
  <si>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</si>
  <si>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</si>
  <si>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</si>
  <si>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</si>
  <si>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</si>
  <si>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</si>
  <si>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</si>
  <si>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</si>
  <si>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</si>
  <si>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</si>
  <si>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</si>
  <si>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</si>
  <si>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</si>
  <si>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</si>
  <si>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</si>
  <si>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</si>
  <si>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</si>
  <si>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</si>
  <si>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</si>
  <si>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</si>
  <si>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</si>
  <si>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</si>
  <si>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</si>
  <si>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</si>
  <si>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</si>
  <si>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</si>
  <si>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</si>
  <si>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</si>
  <si>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</si>
  <si>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</si>
  <si>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</si>
  <si>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</si>
  <si>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</si>
  <si>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</si>
  <si>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</si>
  <si>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</si>
  <si>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</si>
  <si>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</si>
  <si>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</si>
  <si>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</si>
  <si>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</si>
  <si>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</si>
  <si>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</si>
  <si>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</si>
  <si>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</si>
  <si>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</si>
  <si>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</si>
  <si>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</si>
  <si>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</si>
  <si>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</si>
  <si>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</si>
  <si>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</si>
  <si>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</si>
  <si>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</si>
  <si>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</si>
  <si>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</si>
  <si>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</si>
  <si>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</si>
  <si>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</si>
  <si>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</si>
  <si>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</si>
  <si>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</si>
  <si>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</si>
  <si>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</si>
  <si>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</si>
  <si>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</si>
  <si>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</si>
  <si>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</si>
  <si>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</si>
  <si>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</si>
  <si>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</si>
  <si>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</si>
  <si>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</si>
  <si>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</si>
  <si>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</si>
  <si>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</si>
  <si>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</si>
  <si>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</si>
  <si>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</si>
  <si>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</si>
  <si>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</si>
  <si>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</si>
  <si>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</si>
  <si>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</si>
  <si>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</si>
  <si>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</si>
  <si>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</si>
  <si>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</si>
  <si>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</si>
  <si>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</si>
  <si>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</si>
  <si>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</si>
  <si>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</si>
  <si>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</si>
  <si>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</si>
  <si>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</si>
  <si>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</si>
  <si>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</si>
  <si>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</si>
  <si>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</si>
  <si>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</si>
  <si>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</si>
  <si>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</si>
  <si>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</si>
  <si>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</si>
  <si>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</si>
  <si>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</si>
  <si>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</si>
  <si>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</si>
  <si>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</si>
  <si>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</si>
  <si>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</si>
  <si>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</si>
  <si>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</si>
  <si>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</si>
  <si>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</si>
  <si>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</si>
  <si>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</si>
  <si>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</si>
  <si>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</si>
  <si>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</si>
  <si>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</si>
  <si>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</si>
  <si>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</si>
  <si>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</si>
  <si>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</si>
  <si>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</si>
  <si>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</si>
  <si>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</si>
  <si>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</si>
  <si>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</si>
  <si>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</si>
  <si>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</si>
  <si>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</si>
  <si>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</si>
  <si>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</si>
  <si>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</si>
  <si>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</si>
  <si>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</si>
  <si>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</si>
  <si>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</si>
  <si>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</si>
  <si>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</si>
  <si>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</si>
  <si>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</si>
  <si>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</si>
  <si>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</si>
  <si>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</si>
  <si>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</si>
  <si>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</si>
  <si>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</si>
  <si>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</si>
  <si>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</si>
  <si>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</si>
  <si>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</si>
  <si>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</si>
  <si>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</si>
  <si>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</si>
  <si>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</si>
  <si>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</si>
  <si>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</si>
  <si>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</si>
  <si>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</si>
  <si>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</si>
  <si>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</si>
  <si>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</si>
  <si>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</si>
  <si>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</si>
  <si>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</si>
  <si>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</si>
  <si>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</si>
  <si>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</si>
  <si>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</si>
  <si>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</si>
  <si>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</si>
  <si>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</si>
  <si>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</si>
  <si>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</si>
  <si>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</si>
  <si>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</si>
  <si>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</si>
  <si>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</si>
  <si>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</si>
  <si>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</si>
  <si>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</si>
  <si>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</si>
  <si>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</si>
  <si>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</si>
  <si>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</si>
  <si>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</si>
  <si>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</si>
  <si>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</si>
  <si>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</si>
  <si>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</si>
  <si>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</si>
  <si>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</si>
  <si>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</si>
  <si>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</si>
  <si>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</si>
  <si>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</si>
  <si>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</si>
  <si>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</si>
  <si>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</si>
  <si>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</si>
  <si>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</si>
  <si>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</si>
  <si>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</si>
  <si>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</si>
  <si>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</si>
  <si>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</si>
  <si>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</si>
  <si>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</si>
  <si>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</si>
  <si>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</si>
  <si>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</si>
  <si>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</si>
  <si>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</si>
  <si>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</si>
  <si>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</si>
  <si>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</si>
  <si>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</si>
  <si>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</si>
  <si>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</si>
  <si>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</si>
  <si>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</si>
  <si>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</si>
  <si>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</si>
  <si>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</si>
  <si>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</si>
  <si>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</si>
  <si>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</si>
  <si>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</si>
  <si>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</si>
  <si>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</si>
  <si>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</si>
  <si>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</si>
  <si>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</si>
  <si>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</si>
  <si>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</si>
  <si>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</si>
  <si>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</si>
  <si>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</si>
  <si>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</si>
  <si>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</si>
  <si>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</si>
  <si>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</si>
  <si>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</si>
  <si>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</si>
  <si>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</si>
  <si>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</si>
  <si>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</si>
  <si>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</si>
  <si>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</si>
  <si>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</si>
  <si>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</si>
  <si>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</si>
  <si>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</si>
  <si>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</si>
  <si>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</si>
  <si>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</si>
  <si>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</si>
  <si>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</si>
  <si>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</si>
  <si>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</si>
  <si>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</si>
  <si>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</si>
  <si>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</si>
  <si>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</si>
  <si>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</si>
  <si>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</si>
  <si>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</si>
  <si>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</si>
  <si>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</si>
  <si>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</si>
  <si>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</si>
  <si>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</si>
  <si>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</si>
  <si>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</si>
  <si>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</si>
  <si>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</si>
  <si>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</si>
  <si>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</si>
  <si>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</si>
  <si>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</si>
  <si>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</si>
  <si>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</si>
  <si>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</si>
  <si>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</si>
  <si>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</si>
  <si>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</si>
  <si>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</si>
  <si>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</si>
  <si>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</si>
  <si>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</si>
  <si>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</si>
  <si>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</si>
  <si>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</si>
  <si>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</si>
  <si>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</si>
  <si>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</si>
  <si>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</si>
  <si>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</si>
  <si>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</si>
  <si>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</si>
  <si>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</si>
  <si>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</si>
  <si>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</si>
  <si>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</si>
  <si>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</si>
  <si>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</si>
  <si>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</si>
  <si>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</si>
  <si>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</si>
  <si>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</si>
  <si>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</si>
  <si>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</si>
  <si>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</si>
  <si>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</si>
  <si>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</si>
  <si>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</si>
  <si>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</si>
  <si>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</si>
  <si>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</si>
  <si>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</si>
  <si>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</si>
  <si>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</si>
  <si>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</si>
  <si>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</si>
  <si>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</si>
  <si>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</si>
  <si>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</si>
  <si>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</si>
  <si>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</si>
  <si>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</si>
  <si>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</si>
  <si>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</si>
  <si>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</si>
  <si>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</si>
  <si>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</si>
  <si>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</si>
  <si>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</si>
  <si>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</si>
  <si>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</si>
  <si>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</si>
  <si>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</si>
  <si>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</si>
  <si>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</si>
  <si>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</si>
  <si>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</si>
  <si>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</si>
  <si>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</si>
  <si>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</si>
  <si>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</si>
  <si>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</si>
  <si>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</si>
  <si>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</si>
  <si>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</si>
  <si>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</si>
  <si>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</si>
  <si>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</si>
  <si>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</si>
  <si>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</si>
  <si>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</si>
  <si>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</si>
  <si>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</si>
  <si>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</si>
  <si>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</si>
  <si>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</si>
  <si>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</si>
  <si>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</si>
  <si>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</si>
  <si>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</si>
  <si>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</si>
  <si>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</si>
  <si>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</si>
  <si>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</si>
  <si>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</si>
  <si>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</si>
  <si>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</si>
  <si>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</si>
  <si>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</si>
  <si>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</si>
  <si>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</si>
  <si>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</si>
  <si>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</si>
  <si>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</si>
  <si>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</si>
  <si>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</si>
  <si>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</si>
  <si>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</si>
  <si>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</si>
  <si>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</si>
  <si>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</si>
  <si>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</si>
  <si>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</si>
  <si>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</si>
  <si>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</si>
  <si>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</si>
  <si>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</si>
  <si>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</si>
  <si>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</si>
  <si>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</si>
  <si>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</si>
  <si>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</si>
  <si>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</si>
  <si>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</si>
  <si>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</si>
  <si>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</si>
  <si>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</si>
  <si>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</si>
  <si>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</si>
  <si>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</si>
  <si>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</si>
  <si>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</si>
  <si>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</si>
  <si>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</si>
  <si>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</si>
  <si>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</si>
  <si>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</si>
  <si>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</si>
  <si>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</si>
  <si>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</si>
  <si>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</si>
  <si>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</si>
  <si>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</si>
  <si>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</si>
  <si>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</si>
  <si>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</si>
  <si>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</si>
  <si>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</si>
  <si>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</si>
  <si>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</si>
  <si>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</si>
  <si>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</si>
  <si>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</si>
  <si>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</si>
  <si>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</si>
  <si>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</si>
  <si>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</si>
  <si>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</si>
  <si>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</si>
  <si>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</si>
  <si>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</si>
  <si>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</si>
  <si>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</si>
  <si>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</si>
  <si>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</si>
  <si>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</si>
  <si>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</si>
  <si>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</si>
  <si>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</si>
  <si>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</si>
  <si>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</si>
  <si>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</si>
  <si>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</si>
  <si>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</si>
  <si>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</si>
  <si>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</si>
  <si>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</si>
  <si>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</si>
  <si>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</si>
  <si>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</si>
  <si>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</si>
  <si>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</si>
  <si>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</si>
  <si>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</si>
  <si>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</si>
  <si>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</si>
  <si>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</si>
  <si>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</si>
  <si>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</si>
  <si>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</si>
  <si>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</si>
  <si>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</si>
  <si>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</si>
  <si>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</si>
  <si>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</si>
  <si>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</si>
  <si>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</si>
  <si>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</si>
  <si>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</si>
  <si>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</si>
  <si>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</si>
  <si>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</si>
  <si>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</si>
  <si>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</si>
  <si>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</si>
  <si>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</si>
  <si>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</si>
  <si>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</si>
  <si>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</si>
  <si>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</si>
  <si>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</si>
  <si>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</si>
  <si>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</si>
  <si>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</si>
  <si>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</si>
  <si>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</si>
  <si>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</si>
  <si>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</si>
  <si>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</si>
  <si>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</si>
  <si>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</si>
  <si>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</si>
  <si>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</si>
  <si>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</si>
  <si>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</si>
  <si>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</si>
  <si>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</si>
  <si>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</si>
  <si>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</si>
  <si>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</si>
  <si>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</si>
  <si>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</si>
  <si>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</si>
  <si>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</si>
  <si>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</si>
  <si>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</si>
  <si>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</si>
  <si>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</si>
  <si>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</si>
  <si>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</si>
  <si>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</si>
  <si>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</si>
  <si>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</si>
  <si>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</si>
  <si>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</si>
  <si>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</si>
  <si>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</si>
  <si>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</si>
  <si>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</si>
  <si>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</si>
  <si>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</si>
  <si>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</si>
  <si>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</si>
  <si>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</si>
  <si>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</si>
  <si>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</si>
  <si>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</si>
  <si>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</si>
  <si>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</si>
  <si>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</si>
  <si>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</si>
  <si>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</si>
  <si>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</si>
  <si>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</si>
  <si>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</si>
  <si>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</si>
  <si>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</si>
  <si>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</si>
  <si>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</si>
  <si>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</si>
  <si>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</si>
  <si>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</si>
  <si>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</si>
  <si>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</si>
  <si>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</si>
  <si>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</si>
  <si>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</si>
  <si>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</si>
  <si>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</si>
  <si>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</si>
  <si>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</si>
  <si>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</si>
  <si>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</si>
  <si>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</si>
  <si>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</si>
  <si>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</si>
  <si>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</si>
  <si>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</si>
  <si>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</si>
  <si>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</si>
  <si>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</si>
  <si>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</si>
  <si>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</si>
  <si>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</si>
  <si>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</si>
  <si>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</si>
  <si>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</si>
  <si>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</si>
  <si>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</si>
  <si>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</si>
  <si>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</si>
  <si>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</si>
  <si>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</si>
  <si>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</si>
  <si>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</si>
  <si>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</si>
  <si>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</si>
  <si>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</si>
  <si>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</si>
  <si>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</si>
  <si>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</si>
  <si>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</si>
  <si>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</si>
  <si>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</si>
  <si>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</si>
  <si>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</si>
  <si>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</si>
  <si>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</si>
  <si>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</si>
  <si>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</si>
  <si>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</si>
  <si>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</si>
  <si>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</si>
  <si>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</si>
  <si>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</si>
  <si>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</si>
  <si>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</si>
  <si>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</si>
  <si>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</si>
  <si>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</si>
  <si>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</si>
  <si>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</si>
  <si>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</si>
  <si>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</si>
  <si>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</si>
  <si>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</si>
  <si>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</si>
  <si>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</si>
  <si>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</si>
  <si>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</si>
  <si>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</si>
  <si>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</si>
  <si>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</si>
  <si>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</si>
  <si>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</si>
  <si>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</si>
  <si>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</si>
  <si>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</si>
  <si>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</si>
  <si>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</si>
  <si>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</si>
  <si>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</si>
  <si>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</si>
  <si>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</si>
  <si>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</si>
  <si>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</si>
  <si>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</si>
  <si>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</si>
  <si>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</si>
  <si>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</si>
  <si>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</si>
  <si>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</si>
  <si>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</si>
  <si>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</si>
  <si>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</si>
  <si>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</si>
  <si>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</si>
  <si>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</si>
  <si>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</si>
  <si>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</si>
  <si>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</si>
  <si>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</si>
  <si>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</si>
  <si>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</si>
  <si>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</si>
  <si>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</si>
  <si>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</si>
  <si>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</si>
  <si>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</si>
  <si>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</si>
  <si>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</si>
  <si>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</si>
  <si>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</si>
  <si>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</si>
  <si>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</si>
  <si>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</si>
  <si>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</si>
  <si>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</si>
  <si>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</si>
  <si>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</si>
  <si>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</si>
  <si>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</si>
  <si>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</si>
  <si>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</si>
  <si>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</si>
  <si>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</si>
  <si>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</si>
  <si>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</si>
  <si>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</si>
  <si>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</si>
  <si>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</si>
  <si>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</si>
  <si>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</si>
  <si>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</si>
  <si>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</si>
  <si>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</si>
  <si>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</si>
  <si>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</si>
  <si>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</si>
  <si>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</si>
  <si>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</si>
  <si>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</si>
  <si>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</si>
  <si>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</si>
  <si>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</si>
  <si>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</si>
  <si>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</si>
  <si>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</si>
  <si>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</si>
  <si>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</si>
  <si>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</si>
  <si>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</si>
  <si>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</si>
  <si>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</si>
  <si>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</si>
  <si>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</si>
  <si>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</si>
  <si>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</si>
  <si>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</si>
  <si>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</si>
  <si>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</si>
  <si>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</si>
  <si>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</si>
  <si>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</si>
  <si>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</si>
  <si>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</si>
  <si>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</si>
  <si>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</si>
  <si>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</si>
  <si>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</si>
  <si>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</si>
  <si>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</si>
  <si>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</si>
  <si>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</si>
  <si>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</si>
  <si>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</si>
  <si>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</si>
  <si>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</si>
  <si>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</si>
  <si>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</si>
  <si>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</si>
  <si>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</si>
  <si>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</si>
  <si>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</si>
  <si>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</si>
  <si>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</si>
  <si>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</si>
  <si>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</si>
  <si>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</si>
  <si>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</si>
  <si>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</si>
  <si>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</si>
  <si>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</si>
  <si>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</si>
  <si>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</si>
  <si>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</si>
  <si>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</si>
  <si>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</si>
  <si>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</si>
  <si>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</si>
  <si>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</si>
  <si>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</si>
  <si>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</si>
  <si>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</si>
  <si>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</si>
  <si>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</si>
  <si>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</si>
  <si>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</si>
  <si>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</si>
  <si>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</si>
  <si>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</si>
  <si>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</si>
  <si>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</si>
  <si>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</si>
  <si>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</si>
  <si>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</si>
  <si>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</si>
  <si>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</si>
  <si>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</si>
  <si>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</si>
  <si>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</si>
  <si>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</si>
  <si>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</si>
  <si>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</si>
  <si>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</si>
  <si>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</si>
  <si>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</si>
  <si>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</si>
  <si>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</si>
  <si>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</si>
  <si>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</si>
  <si>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</si>
  <si>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</si>
  <si>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</si>
  <si>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</si>
  <si>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</si>
  <si>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</si>
  <si>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</si>
  <si>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</si>
  <si>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</si>
  <si>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</si>
  <si>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</si>
  <si>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</si>
  <si>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</si>
  <si>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</si>
  <si>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</si>
  <si>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</si>
  <si>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</si>
  <si>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</si>
  <si>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</si>
  <si>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</si>
  <si>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</si>
  <si>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</si>
  <si>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</si>
  <si>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</si>
  <si>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</si>
  <si>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</si>
  <si>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</si>
  <si>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</si>
  <si>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</si>
  <si>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</si>
  <si>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</si>
  <si>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</si>
  <si>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</si>
  <si>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</si>
  <si>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</si>
  <si>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</si>
  <si>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</si>
  <si>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</si>
  <si>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</si>
  <si>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</si>
  <si>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</si>
  <si>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</si>
  <si>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</si>
  <si>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</si>
  <si>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</si>
  <si>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</si>
  <si>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</si>
  <si>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</si>
  <si>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</si>
  <si>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</si>
  <si>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</si>
  <si>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</si>
  <si>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</si>
  <si>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</si>
  <si>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</si>
  <si>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</si>
  <si>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</si>
  <si>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</si>
  <si>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</si>
  <si>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</si>
  <si>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</si>
  <si>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</si>
  <si>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</si>
  <si>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</si>
  <si>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</si>
  <si>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</si>
  <si>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</si>
  <si>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</si>
  <si>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</si>
  <si>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</si>
  <si>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</si>
  <si>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</si>
  <si>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</si>
  <si>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</si>
  <si>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</si>
  <si>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</si>
  <si>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</si>
  <si>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</si>
  <si>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</si>
  <si>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</si>
  <si>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</si>
  <si>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</si>
  <si>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</si>
  <si>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</si>
  <si>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</si>
  <si>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</si>
  <si>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</si>
  <si>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</si>
  <si>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</si>
  <si>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</si>
  <si>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</si>
  <si>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</si>
  <si>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</si>
  <si>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</si>
  <si>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</si>
  <si>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</si>
  <si>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</si>
  <si>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</si>
  <si>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</si>
  <si>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</si>
  <si>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</si>
  <si>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</si>
  <si>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</si>
  <si>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</si>
  <si>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</si>
  <si>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</si>
  <si>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</si>
  <si>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</si>
  <si>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</si>
  <si>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</si>
  <si>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</si>
  <si>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</si>
  <si>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</si>
  <si>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</si>
  <si>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</si>
  <si>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</si>
  <si>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</si>
  <si>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</si>
  <si>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</si>
  <si>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</si>
  <si>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</si>
  <si>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</si>
  <si>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</si>
  <si>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</si>
  <si>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</si>
  <si>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</si>
  <si>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</si>
  <si>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</si>
  <si>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</si>
  <si>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</si>
  <si>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</si>
  <si>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</si>
  <si>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</si>
  <si>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</si>
  <si>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</si>
  <si>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</si>
  <si>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</si>
  <si>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</si>
  <si>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</si>
  <si>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</si>
  <si>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</si>
  <si>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</si>
  <si>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</si>
  <si>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</si>
  <si>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</si>
  <si>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</si>
  <si>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</si>
  <si>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</si>
  <si>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</si>
  <si>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</si>
  <si>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</si>
  <si>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</si>
  <si>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</si>
  <si>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</si>
  <si>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</si>
  <si>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</si>
  <si>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</si>
  <si>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</si>
  <si>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</si>
  <si>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</si>
  <si>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</si>
  <si>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</si>
  <si>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</si>
  <si>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</si>
  <si>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</si>
  <si>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</si>
  <si>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</si>
  <si>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</si>
  <si>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</si>
  <si>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</si>
  <si>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</si>
  <si>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</si>
  <si>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</si>
  <si>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</si>
  <si>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</si>
  <si>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</si>
  <si>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</si>
  <si>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</si>
  <si>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</si>
  <si>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</si>
  <si>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</si>
  <si>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</si>
  <si>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</si>
  <si>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</si>
  <si>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</si>
  <si>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</si>
  <si>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</si>
  <si>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</si>
  <si>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</si>
  <si>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</si>
  <si>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</si>
  <si>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</si>
  <si>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</si>
  <si>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</si>
  <si>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</si>
  <si>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</si>
  <si>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</si>
  <si>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</si>
  <si>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</si>
  <si>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</si>
  <si>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</si>
  <si>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</si>
  <si>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</si>
  <si>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</si>
  <si>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</si>
  <si>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</si>
  <si>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</si>
  <si>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</si>
  <si>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</si>
  <si>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</si>
  <si>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</si>
  <si>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</si>
  <si>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</si>
  <si>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</si>
  <si>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</si>
  <si>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</si>
  <si>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</si>
  <si>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</si>
  <si>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</si>
  <si>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</si>
  <si>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</si>
  <si>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</si>
  <si>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</si>
  <si>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</si>
  <si>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</si>
  <si>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</si>
  <si>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</si>
  <si>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</si>
  <si>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</si>
  <si>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</si>
  <si>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</si>
  <si>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</si>
  <si>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</si>
  <si>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</si>
  <si>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</si>
  <si>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</si>
  <si>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</si>
  <si>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</si>
  <si>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</si>
  <si>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</si>
  <si>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</si>
  <si>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</si>
  <si>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</si>
  <si>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</si>
  <si>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</si>
  <si>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</si>
  <si>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</si>
  <si>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</si>
  <si>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</si>
  <si>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</si>
  <si>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</si>
  <si>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</si>
  <si>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</si>
  <si>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</si>
  <si>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</si>
  <si>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</si>
  <si>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</si>
  <si>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</si>
  <si>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</si>
  <si>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</si>
  <si>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</si>
  <si>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</si>
  <si>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</si>
  <si>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</si>
  <si>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</si>
  <si>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</si>
  <si>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</si>
  <si>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</si>
  <si>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</si>
  <si>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</si>
  <si>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</si>
  <si>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</si>
  <si>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</si>
  <si>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</si>
  <si>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</si>
  <si>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</si>
  <si>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</si>
  <si>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</si>
  <si>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</si>
  <si>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</si>
  <si>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</si>
  <si>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</si>
  <si>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</si>
  <si>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</si>
  <si>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</si>
  <si>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</si>
  <si>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</si>
  <si>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</si>
  <si>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</si>
  <si>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</si>
  <si>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</si>
  <si>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</si>
  <si>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</si>
  <si>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</si>
  <si>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</si>
  <si>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</si>
  <si>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</si>
  <si>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</si>
  <si>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</si>
  <si>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</si>
  <si>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</si>
  <si>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</si>
  <si>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</si>
  <si>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</si>
  <si>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</si>
  <si>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</si>
  <si>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</si>
  <si>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</si>
  <si>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</si>
  <si>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</si>
  <si>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</si>
  <si>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</si>
  <si>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</si>
  <si>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</si>
  <si>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</si>
  <si>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</si>
  <si>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</si>
  <si>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</si>
  <si>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</si>
  <si>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</si>
  <si>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</si>
  <si>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</si>
  <si>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</si>
  <si>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</si>
  <si>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</si>
  <si>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</si>
  <si>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</si>
  <si>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</si>
  <si>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</si>
  <si>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</si>
  <si>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</si>
  <si>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</si>
  <si>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</si>
  <si>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</si>
  <si>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</si>
  <si>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</si>
  <si>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</si>
  <si>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</si>
  <si>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</si>
  <si>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</si>
  <si>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</si>
  <si>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</si>
  <si>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</si>
  <si>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</si>
  <si>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</si>
  <si>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</si>
  <si>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</si>
  <si>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</si>
  <si>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</si>
  <si>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</si>
  <si>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</si>
  <si>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</si>
  <si>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</si>
  <si>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</si>
  <si>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</si>
  <si>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</si>
  <si>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</si>
  <si>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</si>
  <si>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</si>
  <si>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</si>
  <si>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</si>
  <si>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</si>
  <si>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</si>
  <si>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</si>
  <si>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</si>
  <si>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</si>
  <si>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</si>
  <si>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</si>
  <si>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</si>
  <si>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</si>
  <si>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</si>
  <si>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</si>
  <si>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</si>
  <si>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</si>
  <si>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</si>
  <si>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</si>
  <si>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</si>
  <si>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</si>
  <si>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</si>
  <si>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</si>
  <si>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</si>
  <si>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</si>
  <si>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</si>
  <si>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</si>
  <si>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</si>
  <si>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</si>
  <si>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</si>
  <si>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</si>
  <si>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</si>
  <si>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</si>
  <si>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</si>
  <si>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</si>
  <si>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</si>
  <si>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</si>
  <si>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</si>
  <si>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</si>
  <si>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</si>
  <si>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</si>
  <si>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</si>
  <si>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</si>
  <si>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</si>
  <si>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</si>
  <si>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</si>
  <si>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</si>
  <si>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</si>
  <si>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</si>
  <si>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</si>
  <si>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</si>
  <si>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</si>
  <si>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</si>
  <si>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</si>
  <si>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</si>
  <si>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</si>
  <si>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</si>
  <si>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</si>
  <si>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</si>
  <si>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</si>
  <si>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</si>
  <si>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</si>
  <si>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</si>
  <si>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</si>
  <si>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</si>
  <si>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</si>
  <si>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</si>
  <si>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</si>
  <si>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</si>
  <si>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</si>
  <si>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</si>
  <si>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</si>
  <si>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</si>
  <si>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</si>
  <si>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</si>
  <si>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</si>
  <si>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</si>
  <si>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</si>
  <si>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</si>
  <si>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</si>
  <si>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</si>
  <si>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</si>
  <si>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</si>
  <si>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</si>
  <si>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</si>
  <si>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</si>
  <si>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</si>
  <si>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</si>
  <si>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</si>
  <si>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</si>
  <si>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</si>
  <si>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</si>
  <si>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</si>
  <si>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</si>
  <si>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</si>
  <si>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</si>
  <si>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</si>
  <si>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</si>
  <si>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</si>
  <si>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</si>
  <si>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</si>
  <si>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</si>
  <si>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</si>
  <si>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</si>
  <si>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</si>
  <si>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</si>
  <si>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</si>
  <si>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</si>
  <si>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</si>
  <si>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</si>
  <si>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</si>
  <si>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</si>
  <si>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</si>
  <si>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</si>
  <si>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</si>
  <si>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</si>
  <si>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</si>
  <si>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</si>
  <si>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</si>
  <si>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</si>
  <si>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</si>
  <si>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</si>
  <si>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</si>
  <si>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</si>
  <si>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</si>
  <si>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</si>
  <si>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</si>
  <si>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</si>
  <si>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</si>
  <si>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</si>
  <si>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</si>
  <si>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</si>
  <si>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</si>
  <si>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</si>
  <si>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</si>
  <si>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</si>
  <si>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</si>
  <si>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</si>
  <si>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</si>
  <si>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</si>
  <si>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</si>
  <si>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</si>
  <si>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</si>
  <si>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</si>
  <si>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</si>
  <si>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</si>
  <si>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</si>
  <si>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</si>
  <si>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</si>
  <si>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</si>
  <si>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</si>
  <si>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</si>
  <si>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</si>
  <si>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</si>
  <si>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</si>
  <si>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</si>
  <si>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</si>
  <si>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</si>
  <si>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</si>
  <si>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</si>
  <si>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</si>
  <si>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</si>
  <si>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</si>
  <si>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</si>
  <si>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</si>
  <si>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</si>
  <si>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</si>
  <si>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</si>
  <si>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</si>
  <si>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</si>
  <si>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</si>
  <si>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</si>
  <si>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</si>
  <si>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</si>
  <si>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</si>
  <si>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</si>
  <si>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</si>
  <si>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</si>
  <si>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</si>
  <si>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</si>
  <si>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</si>
  <si>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</si>
  <si>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</si>
  <si>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</si>
  <si>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</si>
  <si>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</si>
  <si>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</si>
  <si>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</si>
  <si>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</si>
  <si>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</si>
  <si>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</si>
  <si>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</si>
  <si>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</si>
  <si>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</si>
  <si>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</si>
  <si>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</si>
  <si>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</si>
  <si>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</si>
  <si>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</si>
  <si>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</si>
  <si>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</si>
  <si>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</si>
  <si>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</si>
  <si>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</si>
  <si>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</si>
  <si>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</si>
  <si>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</si>
  <si>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</si>
  <si>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</si>
  <si>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</si>
  <si>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</si>
  <si>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</si>
  <si>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</si>
  <si>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</si>
  <si>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</si>
  <si>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</si>
  <si>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</si>
  <si>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</si>
  <si>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</si>
  <si>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</si>
  <si>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</si>
  <si>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</si>
  <si>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</si>
  <si>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</si>
  <si>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</si>
  <si>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</si>
  <si>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</si>
  <si>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</si>
  <si>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</si>
  <si>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</si>
  <si>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</si>
  <si>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</si>
  <si>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</si>
  <si>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</si>
  <si>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</si>
  <si>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</si>
  <si>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</si>
  <si>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</si>
  <si>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</si>
  <si>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</si>
  <si>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</si>
  <si>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</si>
  <si>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</si>
  <si>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</si>
  <si>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</si>
  <si>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</si>
  <si>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</si>
  <si>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</si>
  <si>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</si>
  <si>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</si>
  <si>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</si>
  <si>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</si>
  <si>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</si>
  <si>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</si>
  <si>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</si>
  <si>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</si>
  <si>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</si>
  <si>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</si>
  <si>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</si>
  <si>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</si>
  <si>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</si>
  <si>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</si>
  <si>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</si>
  <si>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</si>
  <si>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</si>
  <si>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</si>
  <si>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</si>
  <si>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</si>
  <si>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</si>
  <si>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</si>
  <si>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</si>
  <si>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</si>
  <si>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</si>
  <si>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</si>
  <si>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</si>
  <si>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</si>
  <si>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</si>
  <si>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</si>
  <si>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</si>
  <si>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</si>
  <si>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</si>
  <si>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</si>
  <si>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</si>
  <si>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</si>
  <si>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</si>
  <si>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</si>
  <si>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</si>
  <si>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</si>
  <si>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</si>
  <si>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</si>
  <si>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</si>
  <si>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</si>
  <si>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</si>
  <si>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</si>
  <si>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</si>
  <si>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</si>
  <si>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</si>
  <si>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</si>
  <si>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</si>
  <si>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</si>
  <si>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</si>
  <si>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</si>
  <si>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</si>
  <si>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</si>
  <si>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</si>
  <si>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</si>
  <si>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</si>
  <si>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</si>
  <si>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</si>
  <si>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</si>
  <si>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</si>
  <si>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</si>
  <si>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</si>
  <si>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</si>
  <si>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</si>
  <si>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</si>
  <si>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</si>
  <si>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</si>
  <si>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</si>
  <si>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</si>
  <si>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</si>
  <si>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</si>
  <si>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</si>
  <si>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</si>
  <si>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</si>
  <si>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</si>
  <si>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</si>
  <si>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</si>
  <si>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</si>
  <si>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</si>
  <si>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</si>
  <si>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</si>
  <si>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</si>
  <si>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</si>
  <si>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</si>
  <si>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</si>
  <si>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</si>
  <si>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</si>
  <si>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</si>
  <si>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</si>
  <si>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</si>
  <si>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</si>
  <si>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</si>
  <si>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</si>
  <si>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</si>
  <si>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</si>
  <si>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</si>
  <si>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</si>
  <si>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</si>
  <si>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</si>
  <si>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</si>
  <si>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</si>
  <si>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</si>
  <si>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</si>
  <si>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</si>
  <si>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</si>
  <si>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</si>
  <si>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</si>
  <si>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</si>
  <si>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</si>
  <si>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</si>
  <si>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</si>
  <si>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</si>
  <si>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</si>
  <si>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</si>
  <si>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</si>
  <si>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</si>
  <si>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</si>
  <si>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</si>
  <si>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</si>
  <si>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</si>
  <si>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</si>
  <si>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</si>
  <si>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</si>
  <si>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</si>
  <si>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</si>
  <si>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</si>
  <si>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</si>
  <si>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</si>
  <si>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</si>
  <si>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</si>
  <si>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</si>
  <si>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</si>
  <si>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</si>
  <si>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</si>
  <si>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</si>
  <si>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</si>
  <si>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</si>
  <si>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</si>
  <si>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</si>
  <si>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</si>
  <si>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</si>
  <si>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</si>
  <si>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</si>
  <si>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</si>
  <si>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</si>
  <si>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</si>
  <si>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</si>
  <si>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</si>
  <si>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</si>
  <si>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</si>
  <si>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</si>
  <si>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</si>
  <si>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</si>
  <si>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</si>
  <si>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</si>
  <si>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</si>
  <si>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</si>
  <si>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</si>
  <si>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</si>
  <si>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</si>
  <si>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</si>
  <si>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</si>
  <si>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</si>
  <si>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</si>
  <si>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</si>
  <si>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</si>
  <si>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</si>
  <si>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</si>
  <si>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</si>
  <si>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</si>
  <si>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</si>
  <si>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</si>
  <si>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</si>
  <si>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</si>
  <si>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</si>
  <si>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</si>
  <si>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</si>
  <si>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</si>
  <si>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</si>
  <si>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</si>
  <si>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</si>
  <si>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</si>
  <si>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</si>
  <si>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</si>
  <si>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</si>
  <si>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</si>
  <si>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</si>
  <si>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</si>
  <si>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</si>
  <si>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</si>
  <si>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</si>
  <si>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</si>
  <si>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</si>
  <si>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</si>
  <si>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</si>
  <si>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</si>
  <si>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</si>
  <si>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</si>
  <si>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</si>
  <si>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</si>
  <si>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</si>
  <si>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</si>
  <si>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</si>
  <si>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</si>
  <si>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</si>
  <si>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</si>
  <si>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</si>
  <si>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</si>
  <si>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</si>
  <si>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</si>
  <si>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</si>
  <si>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</si>
  <si>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</si>
  <si>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</si>
  <si>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</si>
  <si>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</si>
  <si>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</si>
  <si>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</si>
  <si>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</si>
  <si>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</si>
  <si>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</si>
  <si>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</si>
  <si>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</si>
  <si>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</si>
  <si>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</si>
  <si>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</si>
  <si>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</si>
  <si>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</si>
  <si>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</si>
  <si>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</si>
  <si>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</si>
  <si>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</si>
  <si>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</si>
  <si>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</si>
  <si>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</si>
  <si>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</si>
  <si>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</si>
  <si>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</si>
  <si>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</si>
  <si>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</si>
  <si>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</si>
  <si>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</si>
  <si>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</si>
  <si>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</si>
  <si>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</si>
  <si>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</si>
  <si>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</si>
  <si>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</si>
  <si>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</si>
  <si>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</si>
  <si>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</si>
  <si>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</si>
  <si>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</si>
  <si>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</si>
  <si>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</si>
  <si>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</si>
  <si>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</si>
  <si>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</si>
  <si>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</si>
  <si>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</si>
  <si>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</si>
  <si>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</si>
  <si>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</si>
  <si>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</si>
  <si>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</si>
  <si>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</si>
  <si>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</si>
  <si>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</si>
  <si>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</si>
  <si>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</si>
  <si>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</si>
  <si>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</si>
  <si>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</si>
  <si>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</si>
  <si>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</si>
  <si>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</si>
  <si>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</si>
  <si>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</si>
  <si>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</si>
  <si>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</si>
  <si>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</si>
  <si>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</si>
  <si>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</si>
  <si>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</si>
  <si>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</si>
  <si>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</si>
  <si>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</si>
  <si>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</si>
  <si>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</si>
  <si>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</si>
  <si>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</si>
  <si>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</si>
  <si>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</si>
  <si>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</si>
  <si>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</si>
  <si>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</si>
  <si>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</si>
  <si>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</si>
  <si>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</si>
  <si>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</si>
  <si>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</si>
  <si>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</si>
  <si>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</si>
  <si>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</si>
  <si>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</si>
  <si>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</si>
  <si>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</si>
  <si>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</si>
  <si>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</si>
  <si>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</si>
  <si>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</si>
  <si>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</si>
  <si>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</si>
  <si>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</si>
  <si>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</si>
  <si>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</si>
  <si>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</si>
  <si>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</si>
  <si>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</si>
  <si>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</si>
  <si>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</si>
  <si>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</si>
  <si>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</si>
  <si>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</si>
  <si>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</si>
  <si>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</si>
  <si>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</si>
  <si>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</si>
  <si>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</si>
  <si>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</si>
  <si>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</si>
  <si>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</si>
  <si>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</si>
  <si>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</si>
  <si>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</si>
  <si>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</si>
  <si>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</si>
  <si>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</si>
  <si>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</si>
  <si>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</si>
  <si>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</si>
  <si>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</si>
  <si>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</si>
  <si>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</si>
  <si>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</si>
  <si>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</si>
  <si>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</si>
  <si>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</si>
  <si>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</si>
  <si>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</si>
  <si>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</si>
  <si>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</si>
  <si>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</si>
  <si>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</si>
  <si>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</si>
  <si>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</si>
  <si>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</si>
  <si>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</si>
  <si>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</si>
  <si>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</si>
  <si>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</si>
  <si>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</si>
  <si>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</si>
  <si>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</si>
  <si>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</si>
  <si>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</si>
  <si>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</si>
  <si>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</si>
  <si>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</si>
  <si>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</si>
  <si>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</si>
  <si>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</si>
  <si>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</si>
  <si>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</si>
  <si>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</si>
  <si>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</si>
  <si>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</si>
  <si>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</si>
  <si>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</si>
  <si>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</si>
  <si>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</si>
  <si>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</si>
  <si>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</si>
  <si>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</si>
  <si>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</si>
  <si>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</si>
  <si>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</si>
  <si>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</si>
  <si>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</si>
  <si>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</si>
  <si>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</si>
  <si>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</si>
  <si>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</si>
  <si>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</si>
  <si>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</si>
  <si>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</si>
  <si>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</si>
  <si>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</si>
  <si>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</si>
  <si>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</si>
  <si>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</si>
  <si>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</si>
  <si>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</si>
  <si>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</si>
  <si>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</si>
  <si>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</si>
  <si>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</si>
  <si>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</si>
  <si>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</si>
  <si>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</si>
  <si>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</si>
  <si>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</si>
  <si>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</si>
  <si>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</si>
  <si>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</si>
  <si>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</si>
  <si>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</si>
  <si>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</si>
  <si>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</si>
  <si>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</si>
  <si>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</si>
  <si>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</si>
  <si>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</si>
  <si>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</si>
  <si>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</si>
  <si>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</si>
  <si>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</si>
  <si>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</si>
  <si>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</si>
  <si>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</si>
  <si>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</si>
  <si>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</si>
  <si>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</si>
  <si>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</si>
  <si>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</si>
  <si>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</si>
  <si>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</si>
  <si>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</si>
  <si>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</si>
  <si>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</si>
  <si>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</si>
  <si>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</si>
  <si>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</si>
  <si>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</si>
  <si>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</si>
  <si>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</si>
  <si>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</si>
  <si>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</si>
  <si>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</si>
  <si>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</si>
  <si>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</si>
  <si>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</si>
  <si>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</si>
  <si>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</si>
  <si>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</si>
  <si>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</si>
  <si>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</si>
  <si>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</si>
  <si>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</si>
  <si>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</si>
  <si>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</si>
  <si>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</si>
  <si>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</si>
  <si>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</si>
  <si>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</si>
  <si>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</si>
  <si>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</si>
  <si>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</si>
  <si>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</si>
  <si>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</si>
  <si>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</si>
  <si>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</si>
  <si>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</si>
  <si>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</si>
  <si>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</si>
  <si>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</si>
  <si>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</si>
  <si>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</si>
  <si>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</si>
  <si>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</si>
  <si>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</si>
  <si>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</si>
  <si>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</si>
  <si>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</si>
  <si>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</si>
  <si>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</si>
  <si>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</si>
  <si>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</si>
  <si>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</si>
  <si>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</si>
  <si>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</si>
  <si>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</si>
  <si>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</si>
  <si>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</si>
  <si>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</si>
  <si>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</si>
  <si>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</si>
  <si>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</si>
  <si>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</si>
  <si>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</si>
  <si>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</si>
  <si>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</si>
  <si>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</si>
  <si>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</si>
  <si>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</si>
  <si>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</si>
  <si>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</si>
  <si>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</si>
  <si>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</si>
  <si>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</si>
  <si>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</si>
  <si>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</si>
  <si>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</si>
  <si>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</si>
  <si>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</si>
  <si>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</si>
  <si>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</si>
  <si>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</si>
  <si>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</si>
  <si>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</si>
  <si>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</si>
  <si>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</si>
  <si>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</si>
  <si>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</si>
  <si>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</si>
  <si>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</si>
  <si>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</si>
  <si>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</si>
  <si>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</si>
  <si>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</si>
  <si>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</si>
  <si>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</si>
  <si>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</si>
  <si>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</si>
  <si>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</si>
  <si>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</si>
  <si>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</si>
  <si>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</si>
  <si>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</si>
  <si>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</si>
  <si>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</si>
  <si>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</si>
  <si>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</si>
  <si>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</si>
  <si>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</si>
  <si>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</si>
  <si>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</si>
  <si>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</si>
  <si>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</si>
  <si>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</si>
  <si>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</si>
  <si>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</si>
  <si>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</si>
  <si>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</si>
  <si>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</si>
  <si>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</si>
  <si>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</si>
  <si>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</si>
  <si>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</si>
  <si>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</si>
  <si>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</si>
  <si>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</si>
  <si>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</si>
  <si>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</si>
  <si>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</si>
  <si>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</si>
  <si>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</si>
  <si>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</si>
  <si>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</si>
  <si>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</si>
  <si>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</si>
  <si>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</si>
  <si>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</si>
  <si>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</si>
  <si>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</si>
  <si>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</si>
  <si>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</si>
  <si>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</si>
  <si>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</si>
  <si>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</si>
  <si>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</si>
  <si>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</si>
  <si>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</si>
  <si>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</si>
  <si>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</si>
  <si>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</si>
  <si>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</si>
  <si>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</si>
  <si>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</si>
  <si>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</si>
  <si>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</si>
  <si>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</si>
  <si>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</si>
  <si>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</si>
  <si>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</si>
  <si>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</si>
  <si>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</si>
  <si>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</si>
  <si>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</si>
  <si>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</si>
  <si>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</si>
  <si>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</si>
  <si>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</si>
  <si>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</si>
  <si>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</si>
  <si>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</si>
  <si>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</si>
  <si>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</si>
  <si>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</si>
  <si>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</si>
  <si>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</si>
  <si>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</si>
  <si>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</si>
  <si>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</si>
  <si>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</si>
  <si>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</si>
  <si>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</si>
  <si>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</si>
  <si>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</si>
  <si>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</si>
  <si>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</si>
  <si>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</si>
  <si>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</si>
  <si>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</si>
  <si>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</si>
  <si>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</si>
  <si>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</si>
  <si>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</si>
  <si>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</si>
  <si>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</si>
  <si>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</si>
  <si>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</si>
  <si>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</si>
  <si>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</si>
  <si>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</si>
  <si>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</si>
  <si>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</si>
  <si>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</si>
  <si>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</si>
  <si>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</si>
  <si>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</si>
  <si>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</si>
  <si>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</si>
  <si>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</si>
  <si>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</si>
  <si>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</si>
  <si>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</si>
  <si>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</si>
  <si>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</si>
  <si>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</si>
  <si>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</si>
  <si>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</si>
  <si>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</si>
  <si>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</si>
  <si>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</si>
  <si>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</si>
  <si>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</si>
  <si>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</si>
  <si>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</si>
  <si>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</si>
  <si>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</si>
  <si>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</si>
  <si>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</si>
  <si>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</si>
  <si>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</si>
  <si>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</si>
  <si>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</si>
  <si>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</si>
  <si>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</si>
  <si>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</si>
  <si>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</si>
  <si>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</si>
  <si>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</si>
  <si>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</si>
  <si>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</si>
  <si>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</si>
  <si>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</si>
  <si>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</si>
  <si>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</si>
  <si>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</si>
  <si>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</si>
  <si>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</si>
  <si>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</si>
  <si>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</si>
  <si>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</si>
  <si>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</si>
  <si>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</si>
  <si>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</si>
  <si>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</si>
  <si>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</si>
  <si>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</si>
  <si>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</si>
  <si>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</si>
  <si>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</si>
  <si>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</si>
  <si>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</si>
  <si>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</si>
  <si>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</si>
  <si>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</si>
  <si>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</si>
  <si>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</si>
  <si>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</si>
  <si>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</si>
  <si>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</si>
  <si>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</si>
  <si>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</si>
  <si>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</si>
  <si>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</si>
  <si>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</si>
  <si>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</si>
  <si>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</si>
  <si>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</si>
  <si>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</si>
  <si>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</si>
  <si>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</si>
  <si>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</si>
  <si>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</si>
  <si>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</si>
  <si>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</si>
  <si>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</si>
  <si>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</si>
  <si>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</si>
  <si>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</si>
  <si>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</si>
  <si>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</si>
  <si>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</si>
  <si>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</si>
  <si>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</si>
  <si>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</si>
  <si>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</si>
  <si>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</si>
  <si>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</si>
  <si>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</si>
  <si>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</si>
  <si>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</si>
  <si>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</si>
  <si>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</si>
  <si>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</si>
  <si>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</si>
  <si>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</si>
  <si>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</si>
  <si>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</si>
  <si>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</si>
  <si>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</si>
  <si>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</si>
  <si>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</si>
  <si>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</si>
  <si>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</si>
  <si>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</si>
  <si>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</si>
  <si>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</si>
  <si>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</si>
  <si>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</si>
  <si>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</si>
  <si>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</si>
  <si>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</si>
  <si>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</si>
  <si>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</si>
  <si>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</si>
  <si>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</si>
  <si>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</si>
  <si>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</si>
  <si>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</si>
  <si>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</si>
  <si>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</si>
  <si>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</si>
  <si>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</si>
  <si>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</si>
  <si>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</si>
  <si>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</si>
  <si>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</si>
  <si>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</si>
  <si>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</si>
  <si>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</si>
  <si>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</si>
  <si>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</si>
  <si>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</si>
  <si>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</si>
  <si>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</si>
  <si>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</si>
  <si>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</si>
  <si>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</si>
  <si>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</si>
  <si>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</si>
  <si>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</si>
  <si>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</si>
  <si>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</si>
  <si>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</si>
  <si>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</si>
  <si>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</si>
  <si>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</si>
  <si>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</si>
  <si>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</si>
  <si>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</si>
  <si>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</si>
  <si>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</si>
  <si>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</si>
  <si>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</si>
  <si>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</si>
  <si>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</si>
  <si>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</si>
  <si>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</si>
  <si>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</si>
  <si>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</si>
  <si>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</si>
  <si>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</si>
  <si>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</si>
  <si>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</si>
  <si>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</si>
  <si>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</si>
  <si>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</si>
  <si>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</si>
  <si>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</si>
  <si>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</si>
  <si>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</si>
  <si>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</si>
  <si>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</si>
  <si>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</si>
  <si>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</si>
  <si>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</si>
  <si>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</si>
  <si>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</si>
  <si>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</si>
  <si>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</si>
  <si>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</si>
  <si>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</si>
  <si>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</si>
  <si>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</si>
  <si>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</si>
  <si>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</si>
  <si>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</si>
  <si>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</si>
  <si>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</si>
  <si>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</si>
  <si>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</si>
  <si>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</si>
  <si>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</si>
  <si>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</si>
  <si>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</si>
  <si>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</si>
  <si>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</si>
  <si>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</si>
  <si>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</si>
  <si>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</si>
  <si>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</si>
  <si>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</si>
  <si>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</si>
  <si>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</si>
  <si>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</si>
  <si>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</si>
  <si>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</si>
  <si>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</si>
  <si>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</si>
  <si>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</si>
  <si>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</si>
  <si>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</si>
  <si>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</si>
  <si>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</si>
  <si>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</si>
  <si>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</si>
  <si>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</si>
  <si>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</si>
  <si>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</si>
  <si>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</si>
  <si>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</si>
  <si>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</si>
  <si>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</si>
  <si>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</si>
  <si>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</si>
  <si>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</si>
  <si>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</si>
  <si>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</si>
  <si>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</si>
  <si>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</si>
  <si>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</si>
  <si>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</si>
  <si>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</si>
  <si>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</si>
  <si>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</si>
  <si>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</si>
  <si>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</si>
  <si>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</si>
  <si>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</si>
  <si>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</si>
  <si>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</si>
  <si>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</si>
  <si>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</si>
  <si>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</si>
  <si>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</si>
  <si>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</si>
  <si>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</si>
  <si>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</si>
  <si>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</si>
  <si>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</si>
  <si>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</si>
  <si>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</si>
  <si>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</si>
  <si>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</si>
  <si>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</si>
  <si>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</si>
  <si>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</si>
  <si>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</si>
  <si>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</si>
  <si>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</si>
  <si>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</si>
  <si>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</si>
  <si>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Sum of Quantity</t>
  </si>
  <si>
    <t>Count of TX ID</t>
  </si>
  <si>
    <t>Sum of Amount</t>
  </si>
  <si>
    <t>Average of Rating C</t>
  </si>
  <si>
    <t>Average of Days to Deliver</t>
  </si>
  <si>
    <t>Values for Display</t>
  </si>
  <si>
    <t>Qty</t>
  </si>
  <si>
    <t>Avg. rating</t>
  </si>
  <si>
    <t>Avg. Days</t>
  </si>
  <si>
    <t>Row Labels</t>
  </si>
  <si>
    <t>Grand Total</t>
  </si>
  <si>
    <t>Column Labels</t>
  </si>
  <si>
    <t>Female</t>
  </si>
  <si>
    <t>Male</t>
  </si>
  <si>
    <t>Other</t>
  </si>
  <si>
    <t>Unknown</t>
  </si>
  <si>
    <t>Group 6 to 10</t>
  </si>
  <si>
    <t>Group from 11</t>
  </si>
  <si>
    <t>California Total</t>
  </si>
  <si>
    <t>📊 VIV CALIF 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</si>
</sst>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 #,##0_ ;_ &quot;₹&quot;\ * \-#,##0_ ;_ &quot;₹&quot;\ * &quot;-&quot;_ ;_ @_ "/>
  </numFmts>
  <fonts count="6"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36"/>
      <color theme="1"/>
      <name val="Aptos Narrow"/>
      <family val="2"/>
      <scheme val="minor"/>
    </font>
    <font>
      <b/>
      <sz val="26"/>
      <color theme="0"/>
      <name val="Segoe UI"/>
      <family val="2"/>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FFFF00"/>
        <bgColor indexed="64"/>
      </patternFill>
    </fill>
    <fill>
      <patternFill patternType="solid">
        <fgColor rgb="FF6D1F1F"/>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1" fillId="0" borderId="0" xfId="0" applyFont="1"/>
    <xf numFmtId="0" fontId="0" fillId="0" borderId="0" xfId="0" pivotButton="1"/>
    <xf numFmtId="0" fontId="0" fillId="0" borderId="0" xfId="0" applyAlignment="1">
      <alignment horizontal="left"/>
    </xf>
    <xf numFmtId="42" fontId="0" fillId="0" borderId="0" xfId="0" applyNumberFormat="1"/>
    <xf numFmtId="10" fontId="0" fillId="0" borderId="0" xfId="0" applyNumberFormat="1"/>
    <xf numFmtId="9" fontId="0" fillId="0" borderId="0" xfId="1" applyFont="1"/>
    <xf numFmtId="0" fontId="0" fillId="8" borderId="0" xfId="0" applyFill="1" applyAlignment="1">
      <alignment horizontal="left" indent="1"/>
    </xf>
    <xf numFmtId="0" fontId="0" fillId="8" borderId="0" xfId="0" applyFill="1"/>
    <xf numFmtId="9" fontId="0" fillId="0" borderId="0" xfId="0" pivotButton="1" applyNumberFormat="1"/>
    <xf numFmtId="9" fontId="0" fillId="0" borderId="0" xfId="0" applyNumberFormat="1"/>
    <xf numFmtId="9" fontId="0" fillId="0" borderId="0" xfId="0" applyNumberFormat="1" applyAlignment="1">
      <alignment horizontal="left"/>
    </xf>
    <xf numFmtId="0" fontId="0" fillId="0" borderId="0" xfId="0" applyAlignment="1">
      <alignment horizontal="left" indent="1"/>
    </xf>
    <xf numFmtId="0" fontId="4" fillId="0" borderId="0" xfId="0" applyFont="1"/>
    <xf numFmtId="0" fontId="4" fillId="0" borderId="0" xfId="0" applyFont="1" applyAlignment="1">
      <alignment horizontal="center"/>
    </xf>
    <xf numFmtId="0" fontId="5" fillId="9" borderId="0" xfId="0" applyFont="1" applyFill="1" applyAlignment="1">
      <alignment horizontal="center"/>
    </xf>
    <xf numFmtId="0" fontId="4" fillId="9" borderId="0" xfId="0" applyFont="1" applyFill="1" applyAlignment="1">
      <alignment horizontal="center"/>
    </xf>
  </cellXfs>
  <cellStyles count="2">
    <cellStyle name="Normal" xfId="0" builtinId="0"/>
    <cellStyle name="Percent" xfId="1" builtinId="5"/>
  </cellStyles>
  <dxfs count="15">
    <dxf>
      <numFmt numFmtId="0" formatCode="General"/>
    </dxf>
    <dxf>
      <numFmt numFmtId="0" formatCode="General"/>
    </dxf>
    <dxf>
      <numFmt numFmtId="0" formatCode="General"/>
    </dxf>
    <dxf>
      <numFmt numFmtId="164" formatCode="d\-mmm\-yy"/>
    </dxf>
    <dxf>
      <numFmt numFmtId="164" formatCode="d\-mmm\-yy"/>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6D1F1F"/>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[Store_Ecommerce.xlsx]Sheet3!PivotTable2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2</c:v>
                </c:pt>
                <c:pt idx="1">
                  <c:v>Group 6 to 10</c:v>
                </c:pt>
                <c:pt idx="2">
                  <c:v>1</c:v>
                </c:pt>
                <c:pt idx="3">
                  <c:v>3</c:v>
                </c:pt>
                <c:pt idx="4">
                  <c:v>4</c:v>
                </c:pt>
                <c:pt idx="5">
                  <c:v>Group from 11</c:v>
                </c:pt>
                <c:pt idx="6">
                  <c:v>5</c:v>
                </c:pt>
              </c:strCache>
            </c:strRef>
          </c:cat>
          <c:val>
            <c:numRef>
              <c:f>Sheet3!$B$4:$B$11</c:f>
              <c:numCache>
                <c:formatCode>General</c:formatCode>
                <c:ptCount val="7"/>
                <c:pt idx="0">
                  <c:v>540</c:v>
                </c:pt>
                <c:pt idx="1">
                  <c:v>414</c:v>
                </c:pt>
                <c:pt idx="2">
                  <c:v>397</c:v>
                </c:pt>
                <c:pt idx="3">
                  <c:v>375</c:v>
                </c:pt>
                <c:pt idx="4">
                  <c:v>246</c:v>
                </c:pt>
                <c:pt idx="5">
                  <c:v>233</c:v>
                </c:pt>
                <c:pt idx="6">
                  <c:v>195</c:v>
                </c:pt>
              </c:numCache>
            </c:numRef>
          </c:val>
          <c:extLst>
            <c:ext xmlns:c16="http://schemas.microsoft.com/office/drawing/2014/chart" uri="{C3380CC4-5D6E-409C-BE32-E72D297353CC}">
              <c16:uniqueId val="{00000000-4EA6-4B38-8D1A-7EA2CC4739CC}"/>
            </c:ext>
          </c:extLst>
        </c:ser>
        <c:dLbls>
          <c:showLegendKey val="0"/>
          <c:showVal val="0"/>
          <c:showCatName val="0"/>
          <c:showSerName val="0"/>
          <c:showPercent val="0"/>
          <c:showBubbleSize val="0"/>
        </c:dLbls>
        <c:gapWidth val="219"/>
        <c:overlap val="-27"/>
        <c:axId val="1931437839"/>
        <c:axId val="1697134063"/>
      </c:barChart>
      <c:catAx>
        <c:axId val="19314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34063"/>
        <c:crosses val="autoZero"/>
        <c:auto val="1"/>
        <c:lblAlgn val="ctr"/>
        <c:lblOffset val="100"/>
        <c:noMultiLvlLbl val="0"/>
      </c:catAx>
      <c:valAx>
        <c:axId val="169713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[Store_Ecommerce.xlsx]Sheet5!PivotTable4</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1"/>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Sheet5!$B$5:$B$25</c:f>
              <c:numCache>
                <c:formatCode>General</c:formatCode>
                <c:ptCount val="20"/>
                <c:pt idx="0">
                  <c:v>26</c:v>
                </c:pt>
                <c:pt idx="1">
                  <c:v>43</c:v>
                </c:pt>
                <c:pt idx="2">
                  <c:v>75</c:v>
                </c:pt>
                <c:pt idx="3">
                  <c:v>99</c:v>
                </c:pt>
                <c:pt idx="4">
                  <c:v>179</c:v>
                </c:pt>
                <c:pt idx="5">
                  <c:v>127</c:v>
                </c:pt>
                <c:pt idx="6">
                  <c:v>146</c:v>
                </c:pt>
                <c:pt idx="7">
                  <c:v>234</c:v>
                </c:pt>
                <c:pt idx="8">
                  <c:v>189</c:v>
                </c:pt>
                <c:pt idx="9">
                  <c:v>153</c:v>
                </c:pt>
                <c:pt idx="10">
                  <c:v>296</c:v>
                </c:pt>
                <c:pt idx="11">
                  <c:v>264</c:v>
                </c:pt>
                <c:pt idx="12">
                  <c:v>431</c:v>
                </c:pt>
                <c:pt idx="13">
                  <c:v>445</c:v>
                </c:pt>
                <c:pt idx="14">
                  <c:v>428</c:v>
                </c:pt>
                <c:pt idx="15">
                  <c:v>482</c:v>
                </c:pt>
                <c:pt idx="16">
                  <c:v>568</c:v>
                </c:pt>
                <c:pt idx="17">
                  <c:v>627</c:v>
                </c:pt>
                <c:pt idx="18">
                  <c:v>716</c:v>
                </c:pt>
                <c:pt idx="19">
                  <c:v>744</c:v>
                </c:pt>
              </c:numCache>
            </c:numRef>
          </c:val>
          <c:extLst>
            <c:ext xmlns:c16="http://schemas.microsoft.com/office/drawing/2014/chart" uri="{C3380CC4-5D6E-409C-BE32-E72D297353CC}">
              <c16:uniqueId val="{00000000-388F-4E5A-87F5-73E0D7EF7111}"/>
            </c:ext>
          </c:extLst>
        </c:ser>
        <c:ser>
          <c:idx val="1"/>
          <c:order val="1"/>
          <c:tx>
            <c:strRef>
              <c:f>Sheet5!$C$3:$C$4</c:f>
              <c:strCache>
                <c:ptCount val="1"/>
                <c:pt idx="0">
                  <c:v>Male</c:v>
                </c:pt>
              </c:strCache>
            </c:strRef>
          </c:tx>
          <c:spPr>
            <a:solidFill>
              <a:schemeClr val="accent2"/>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Sheet5!$C$5:$C$25</c:f>
              <c:numCache>
                <c:formatCode>General</c:formatCode>
                <c:ptCount val="20"/>
                <c:pt idx="0">
                  <c:v>35</c:v>
                </c:pt>
                <c:pt idx="1">
                  <c:v>90</c:v>
                </c:pt>
                <c:pt idx="2">
                  <c:v>103</c:v>
                </c:pt>
                <c:pt idx="3">
                  <c:v>69</c:v>
                </c:pt>
                <c:pt idx="4">
                  <c:v>76</c:v>
                </c:pt>
                <c:pt idx="5">
                  <c:v>118</c:v>
                </c:pt>
                <c:pt idx="6">
                  <c:v>94</c:v>
                </c:pt>
                <c:pt idx="7">
                  <c:v>93</c:v>
                </c:pt>
                <c:pt idx="8">
                  <c:v>168</c:v>
                </c:pt>
                <c:pt idx="9">
                  <c:v>246</c:v>
                </c:pt>
                <c:pt idx="10">
                  <c:v>275</c:v>
                </c:pt>
                <c:pt idx="11">
                  <c:v>318</c:v>
                </c:pt>
                <c:pt idx="12">
                  <c:v>187</c:v>
                </c:pt>
                <c:pt idx="13">
                  <c:v>202</c:v>
                </c:pt>
                <c:pt idx="14">
                  <c:v>293</c:v>
                </c:pt>
                <c:pt idx="15">
                  <c:v>295</c:v>
                </c:pt>
                <c:pt idx="16">
                  <c:v>306</c:v>
                </c:pt>
                <c:pt idx="17">
                  <c:v>393</c:v>
                </c:pt>
                <c:pt idx="18">
                  <c:v>598</c:v>
                </c:pt>
                <c:pt idx="19">
                  <c:v>713</c:v>
                </c:pt>
              </c:numCache>
            </c:numRef>
          </c:val>
          <c:extLst>
            <c:ext xmlns:c16="http://schemas.microsoft.com/office/drawing/2014/chart" uri="{C3380CC4-5D6E-409C-BE32-E72D297353CC}">
              <c16:uniqueId val="{00000001-388F-4E5A-87F5-73E0D7EF7111}"/>
            </c:ext>
          </c:extLst>
        </c:ser>
        <c:ser>
          <c:idx val="2"/>
          <c:order val="2"/>
          <c:tx>
            <c:strRef>
              <c:f>Sheet5!$D$3:$D$4</c:f>
              <c:strCache>
                <c:ptCount val="1"/>
                <c:pt idx="0">
                  <c:v>Other</c:v>
                </c:pt>
              </c:strCache>
            </c:strRef>
          </c:tx>
          <c:spPr>
            <a:solidFill>
              <a:schemeClr val="accent3"/>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Sheet5!$D$5:$D$25</c:f>
              <c:numCache>
                <c:formatCode>General</c:formatCode>
                <c:ptCount val="20"/>
                <c:pt idx="0">
                  <c:v>4</c:v>
                </c:pt>
                <c:pt idx="1">
                  <c:v>8</c:v>
                </c:pt>
                <c:pt idx="2">
                  <c:v>4</c:v>
                </c:pt>
                <c:pt idx="3">
                  <c:v>3</c:v>
                </c:pt>
                <c:pt idx="4">
                  <c:v>3</c:v>
                </c:pt>
                <c:pt idx="5">
                  <c:v>13</c:v>
                </c:pt>
                <c:pt idx="6">
                  <c:v>4</c:v>
                </c:pt>
                <c:pt idx="7">
                  <c:v>19</c:v>
                </c:pt>
                <c:pt idx="8">
                  <c:v>10</c:v>
                </c:pt>
                <c:pt idx="9">
                  <c:v>30</c:v>
                </c:pt>
                <c:pt idx="10">
                  <c:v>9</c:v>
                </c:pt>
                <c:pt idx="11">
                  <c:v>15</c:v>
                </c:pt>
                <c:pt idx="12">
                  <c:v>14</c:v>
                </c:pt>
                <c:pt idx="13">
                  <c:v>14</c:v>
                </c:pt>
                <c:pt idx="15">
                  <c:v>8</c:v>
                </c:pt>
                <c:pt idx="16">
                  <c:v>22</c:v>
                </c:pt>
                <c:pt idx="17">
                  <c:v>29</c:v>
                </c:pt>
                <c:pt idx="18">
                  <c:v>18</c:v>
                </c:pt>
                <c:pt idx="19">
                  <c:v>90</c:v>
                </c:pt>
              </c:numCache>
            </c:numRef>
          </c:val>
          <c:extLst>
            <c:ext xmlns:c16="http://schemas.microsoft.com/office/drawing/2014/chart" uri="{C3380CC4-5D6E-409C-BE32-E72D297353CC}">
              <c16:uniqueId val="{00000002-388F-4E5A-87F5-73E0D7EF7111}"/>
            </c:ext>
          </c:extLst>
        </c:ser>
        <c:ser>
          <c:idx val="3"/>
          <c:order val="3"/>
          <c:tx>
            <c:strRef>
              <c:f>Sheet5!$E$3:$E$4</c:f>
              <c:strCache>
                <c:ptCount val="1"/>
                <c:pt idx="0">
                  <c:v>Unknown</c:v>
                </c:pt>
              </c:strCache>
            </c:strRef>
          </c:tx>
          <c:spPr>
            <a:solidFill>
              <a:schemeClr val="accent4"/>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Sheet5!$E$5:$E$25</c:f>
              <c:numCache>
                <c:formatCode>General</c:formatCode>
                <c:ptCount val="20"/>
                <c:pt idx="1">
                  <c:v>6</c:v>
                </c:pt>
                <c:pt idx="2">
                  <c:v>6</c:v>
                </c:pt>
                <c:pt idx="3">
                  <c:v>24</c:v>
                </c:pt>
                <c:pt idx="5">
                  <c:v>12</c:v>
                </c:pt>
                <c:pt idx="6">
                  <c:v>28</c:v>
                </c:pt>
                <c:pt idx="7">
                  <c:v>24</c:v>
                </c:pt>
                <c:pt idx="8">
                  <c:v>31</c:v>
                </c:pt>
                <c:pt idx="9">
                  <c:v>8</c:v>
                </c:pt>
                <c:pt idx="10">
                  <c:v>23</c:v>
                </c:pt>
                <c:pt idx="11">
                  <c:v>9</c:v>
                </c:pt>
                <c:pt idx="12">
                  <c:v>15</c:v>
                </c:pt>
                <c:pt idx="13">
                  <c:v>39</c:v>
                </c:pt>
                <c:pt idx="14">
                  <c:v>24</c:v>
                </c:pt>
                <c:pt idx="15">
                  <c:v>22</c:v>
                </c:pt>
                <c:pt idx="16">
                  <c:v>16</c:v>
                </c:pt>
                <c:pt idx="17">
                  <c:v>137</c:v>
                </c:pt>
                <c:pt idx="18">
                  <c:v>214</c:v>
                </c:pt>
                <c:pt idx="19">
                  <c:v>98</c:v>
                </c:pt>
              </c:numCache>
            </c:numRef>
          </c:val>
          <c:extLst>
            <c:ext xmlns:c16="http://schemas.microsoft.com/office/drawing/2014/chart" uri="{C3380CC4-5D6E-409C-BE32-E72D297353CC}">
              <c16:uniqueId val="{00000003-388F-4E5A-87F5-73E0D7EF7111}"/>
            </c:ext>
          </c:extLst>
        </c:ser>
        <c:dLbls>
          <c:showLegendKey val="0"/>
          <c:showVal val="0"/>
          <c:showCatName val="0"/>
          <c:showSerName val="0"/>
          <c:showPercent val="0"/>
          <c:showBubbleSize val="0"/>
        </c:dLbls>
        <c:gapWidth val="150"/>
        <c:overlap val="100"/>
        <c:axId val="1959282639"/>
        <c:axId val="1697093743"/>
      </c:barChart>
      <c:catAx>
        <c:axId val="195928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93743"/>
        <c:crosses val="autoZero"/>
        <c:auto val="1"/>
        <c:lblAlgn val="ctr"/>
        <c:lblOffset val="100"/>
        <c:noMultiLvlLbl val="0"/>
      </c:catAx>
      <c:valAx>
        <c:axId val="169709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8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[Store_Ecommerce.xlsx]Sheet6!PivotTable5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s>
    <c:plotArea>
      <c:layout/>
      <c:pieChart>
        <c:varyColors val="1"/>
        <c:ser>
          <c:idx val="0"/>
          <c:order val="0"/>
          <c:tx>
            <c:strRef>
              <c:f>Sheet6!$B$3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0F-47E1-8427-6F4CF1A5D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0F-47E1-8427-6F4CF1A5D1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0F-47E1-8427-6F4CF1A5D1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0F-47E1-8427-6F4CF1A5D1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2C-41B5-8DB4-672D7456A9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12C-41B5-8DB4-672D7456A9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2C-41B5-8DB4-672D7456A9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12C-41B5-8DB4-672D7456A9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12C-41B5-8DB4-672D7456A9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12C-41B5-8DB4-672D7456A9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12C-41B5-8DB4-672D7456A9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12C-41B5-8DB4-672D7456A96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12C-41B5-8DB4-672D7456A96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12C-41B5-8DB4-672D7456A96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12C-41B5-8DB4-672D7456A96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12C-41B5-8DB4-672D7456A96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12C-41B5-8DB4-672D7456A96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12C-41B5-8DB4-672D7456A96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12C-41B5-8DB4-672D7456A96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12C-41B5-8DB4-672D7456A96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912C-41B5-8DB4-672D7456A96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12C-41B5-8DB4-672D7456A96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912C-41B5-8DB4-672D7456A96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912C-41B5-8DB4-672D7456A96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912C-41B5-8DB4-672D7456A96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912C-41B5-8DB4-672D7456A96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912C-41B5-8DB4-672D7456A96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912C-41B5-8DB4-672D7456A96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912C-41B5-8DB4-672D7456A96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912C-41B5-8DB4-672D7456A96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912C-41B5-8DB4-672D7456A96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912C-41B5-8DB4-672D7456A966}"/>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912C-41B5-8DB4-672D7456A966}"/>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912C-41B5-8DB4-672D7456A966}"/>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912C-41B5-8DB4-672D7456A966}"/>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912C-41B5-8DB4-672D7456A966}"/>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912C-41B5-8DB4-672D7456A966}"/>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912C-41B5-8DB4-672D7456A966}"/>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912C-41B5-8DB4-672D7456A966}"/>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912C-41B5-8DB4-672D7456A966}"/>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912C-41B5-8DB4-672D7456A966}"/>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912C-41B5-8DB4-672D7456A966}"/>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912C-41B5-8DB4-672D7456A966}"/>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912C-41B5-8DB4-672D7456A966}"/>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912C-41B5-8DB4-672D7456A966}"/>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912C-41B5-8DB4-672D7456A966}"/>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912C-41B5-8DB4-672D7456A966}"/>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912C-41B5-8DB4-672D7456A966}"/>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912C-41B5-8DB4-672D7456A966}"/>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912C-41B5-8DB4-672D7456A966}"/>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912C-41B5-8DB4-672D7456A966}"/>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912C-41B5-8DB4-672D7456A966}"/>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912C-41B5-8DB4-672D7456A966}"/>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912C-41B5-8DB4-672D7456A966}"/>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912C-41B5-8DB4-672D7456A966}"/>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912C-41B5-8DB4-672D7456A966}"/>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912C-41B5-8DB4-672D7456A966}"/>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912C-41B5-8DB4-672D7456A966}"/>
              </c:ext>
            </c:extLst>
          </c:dPt>
          <c:cat>
            <c:multiLvlStrRef>
              <c:f>Sheet6!$A$4:$A$63</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Sheet6!$B$4:$B$63</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extLst>
            <c:ext xmlns:c16="http://schemas.microsoft.com/office/drawing/2014/chart" uri="{C3380CC4-5D6E-409C-BE32-E72D297353CC}">
              <c16:uniqueId val="{00000000-72A0-4569-BF4B-09003010C88F}"/>
            </c:ext>
          </c:extLst>
        </c:ser>
        <c:ser>
          <c:idx val="1"/>
          <c:order val="1"/>
          <c:tx>
            <c:strRef>
              <c:f>Sheet6!$C$3</c:f>
              <c:strCache>
                <c:ptCount val="1"/>
                <c:pt idx="0">
                  <c:v>Sum of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5-912C-41B5-8DB4-672D7456A9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7-912C-41B5-8DB4-672D7456A9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9-912C-41B5-8DB4-672D7456A9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B-912C-41B5-8DB4-672D7456A9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D-912C-41B5-8DB4-672D7456A9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F-912C-41B5-8DB4-672D7456A9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1-912C-41B5-8DB4-672D7456A9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3-912C-41B5-8DB4-672D7456A9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5-912C-41B5-8DB4-672D7456A9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7-912C-41B5-8DB4-672D7456A9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9-912C-41B5-8DB4-672D7456A9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B-912C-41B5-8DB4-672D7456A96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D-912C-41B5-8DB4-672D7456A96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F-912C-41B5-8DB4-672D7456A96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1-912C-41B5-8DB4-672D7456A96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3-912C-41B5-8DB4-672D7456A96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5-912C-41B5-8DB4-672D7456A96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7-912C-41B5-8DB4-672D7456A96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9-912C-41B5-8DB4-672D7456A96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B-912C-41B5-8DB4-672D7456A96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D-912C-41B5-8DB4-672D7456A96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F-912C-41B5-8DB4-672D7456A96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1-912C-41B5-8DB4-672D7456A96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3-912C-41B5-8DB4-672D7456A96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5-912C-41B5-8DB4-672D7456A96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7-912C-41B5-8DB4-672D7456A96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9-912C-41B5-8DB4-672D7456A96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B-912C-41B5-8DB4-672D7456A96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D-912C-41B5-8DB4-672D7456A96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F-912C-41B5-8DB4-672D7456A96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1-912C-41B5-8DB4-672D7456A96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3-912C-41B5-8DB4-672D7456A966}"/>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5-912C-41B5-8DB4-672D7456A966}"/>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7-912C-41B5-8DB4-672D7456A966}"/>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9-912C-41B5-8DB4-672D7456A966}"/>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B-912C-41B5-8DB4-672D7456A966}"/>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D-912C-41B5-8DB4-672D7456A966}"/>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F-912C-41B5-8DB4-672D7456A966}"/>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1-912C-41B5-8DB4-672D7456A966}"/>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3-912C-41B5-8DB4-672D7456A966}"/>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5-912C-41B5-8DB4-672D7456A966}"/>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7-912C-41B5-8DB4-672D7456A966}"/>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9-912C-41B5-8DB4-672D7456A966}"/>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B-912C-41B5-8DB4-672D7456A966}"/>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D-912C-41B5-8DB4-672D7456A966}"/>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F-912C-41B5-8DB4-672D7456A966}"/>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1-912C-41B5-8DB4-672D7456A966}"/>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3-912C-41B5-8DB4-672D7456A966}"/>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5-912C-41B5-8DB4-672D7456A966}"/>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7-912C-41B5-8DB4-672D7456A966}"/>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9-912C-41B5-8DB4-672D7456A966}"/>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B-912C-41B5-8DB4-672D7456A966}"/>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D-912C-41B5-8DB4-672D7456A966}"/>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F-912C-41B5-8DB4-672D7456A966}"/>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1-912C-41B5-8DB4-672D7456A966}"/>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3-912C-41B5-8DB4-672D7456A966}"/>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5-912C-41B5-8DB4-672D7456A966}"/>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7-912C-41B5-8DB4-672D7456A966}"/>
              </c:ext>
            </c:extLst>
          </c:dPt>
          <c:cat>
            <c:multiLvlStrRef>
              <c:f>Sheet6!$A$4:$A$63</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Sheet6!$C$4:$C$63</c:f>
              <c:numCache>
                <c:formatCode>General</c:formatCode>
                <c:ptCount val="58"/>
                <c:pt idx="0">
                  <c:v>31884.999999999996</c:v>
                </c:pt>
                <c:pt idx="1">
                  <c:v>10.9</c:v>
                </c:pt>
                <c:pt idx="2">
                  <c:v>800.3</c:v>
                </c:pt>
                <c:pt idx="3">
                  <c:v>1062.5999999999999</c:v>
                </c:pt>
                <c:pt idx="4">
                  <c:v>326.20000000000005</c:v>
                </c:pt>
                <c:pt idx="5">
                  <c:v>167.5</c:v>
                </c:pt>
                <c:pt idx="6">
                  <c:v>16168.7</c:v>
                </c:pt>
                <c:pt idx="7">
                  <c:v>322.40000000000003</c:v>
                </c:pt>
                <c:pt idx="8">
                  <c:v>2092.8000000000002</c:v>
                </c:pt>
                <c:pt idx="9">
                  <c:v>12662.500000000002</c:v>
                </c:pt>
                <c:pt idx="10">
                  <c:v>343.2</c:v>
                </c:pt>
                <c:pt idx="11">
                  <c:v>2188.2999999999997</c:v>
                </c:pt>
                <c:pt idx="12">
                  <c:v>2661.5999999999995</c:v>
                </c:pt>
                <c:pt idx="13">
                  <c:v>887.5</c:v>
                </c:pt>
                <c:pt idx="14">
                  <c:v>11354.199999999993</c:v>
                </c:pt>
                <c:pt idx="15">
                  <c:v>1558.4</c:v>
                </c:pt>
                <c:pt idx="16">
                  <c:v>2223.9</c:v>
                </c:pt>
                <c:pt idx="17">
                  <c:v>26.2</c:v>
                </c:pt>
                <c:pt idx="18">
                  <c:v>215551.19999999981</c:v>
                </c:pt>
                <c:pt idx="19">
                  <c:v>2687.3999999999996</c:v>
                </c:pt>
                <c:pt idx="20">
                  <c:v>1463.3000000000002</c:v>
                </c:pt>
                <c:pt idx="21">
                  <c:v>445.79999999999995</c:v>
                </c:pt>
                <c:pt idx="22">
                  <c:v>273.59999999999997</c:v>
                </c:pt>
                <c:pt idx="23">
                  <c:v>2690.4</c:v>
                </c:pt>
                <c:pt idx="24">
                  <c:v>28.4</c:v>
                </c:pt>
                <c:pt idx="25">
                  <c:v>204.8</c:v>
                </c:pt>
                <c:pt idx="26">
                  <c:v>1607.8999999999999</c:v>
                </c:pt>
                <c:pt idx="27">
                  <c:v>6444.9</c:v>
                </c:pt>
                <c:pt idx="28">
                  <c:v>1809.3</c:v>
                </c:pt>
                <c:pt idx="29">
                  <c:v>9680.399999999996</c:v>
                </c:pt>
                <c:pt idx="30">
                  <c:v>9414.7999999999993</c:v>
                </c:pt>
                <c:pt idx="31">
                  <c:v>206.1</c:v>
                </c:pt>
                <c:pt idx="32">
                  <c:v>7691.3</c:v>
                </c:pt>
                <c:pt idx="33">
                  <c:v>37784.900000000016</c:v>
                </c:pt>
                <c:pt idx="34">
                  <c:v>1129.7</c:v>
                </c:pt>
                <c:pt idx="35">
                  <c:v>20988.9</c:v>
                </c:pt>
                <c:pt idx="36">
                  <c:v>98367.099999999977</c:v>
                </c:pt>
                <c:pt idx="37">
                  <c:v>21911.9</c:v>
                </c:pt>
                <c:pt idx="38">
                  <c:v>5441.2</c:v>
                </c:pt>
                <c:pt idx="39">
                  <c:v>392.8</c:v>
                </c:pt>
                <c:pt idx="40">
                  <c:v>16172.000000000005</c:v>
                </c:pt>
                <c:pt idx="41">
                  <c:v>4334.9999999999991</c:v>
                </c:pt>
                <c:pt idx="42">
                  <c:v>37449.000000000007</c:v>
                </c:pt>
                <c:pt idx="43">
                  <c:v>2447.5</c:v>
                </c:pt>
                <c:pt idx="44">
                  <c:v>3391.1</c:v>
                </c:pt>
                <c:pt idx="45">
                  <c:v>30.8</c:v>
                </c:pt>
                <c:pt idx="46">
                  <c:v>332.3</c:v>
                </c:pt>
                <c:pt idx="47">
                  <c:v>3175.9999999999995</c:v>
                </c:pt>
                <c:pt idx="48">
                  <c:v>20939.600000000002</c:v>
                </c:pt>
                <c:pt idx="49">
                  <c:v>10185.899999999996</c:v>
                </c:pt>
                <c:pt idx="50">
                  <c:v>958.7</c:v>
                </c:pt>
                <c:pt idx="51">
                  <c:v>323</c:v>
                </c:pt>
                <c:pt idx="52">
                  <c:v>167.70000000000002</c:v>
                </c:pt>
                <c:pt idx="53">
                  <c:v>3978.5</c:v>
                </c:pt>
                <c:pt idx="54">
                  <c:v>1405</c:v>
                </c:pt>
                <c:pt idx="55">
                  <c:v>9869.0999999999985</c:v>
                </c:pt>
                <c:pt idx="56">
                  <c:v>615.29999999999995</c:v>
                </c:pt>
                <c:pt idx="57">
                  <c:v>285</c:v>
                </c:pt>
              </c:numCache>
            </c:numRef>
          </c:val>
          <c:extLst>
            <c:ext xmlns:c16="http://schemas.microsoft.com/office/drawing/2014/chart" uri="{C3380CC4-5D6E-409C-BE32-E72D297353CC}">
              <c16:uniqueId val="{00000008-360F-47E1-8427-6F4CF1A5D1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[Store_Ecommerce.xlsx]Sheet8!PivotTable2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Sheet8!$B$4:$B$19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F07-43A5-A11F-A989C6523379}"/>
            </c:ext>
          </c:extLst>
        </c:ser>
        <c:dLbls>
          <c:showLegendKey val="0"/>
          <c:showVal val="0"/>
          <c:showCatName val="0"/>
          <c:showSerName val="0"/>
          <c:showPercent val="0"/>
          <c:showBubbleSize val="0"/>
        </c:dLbls>
        <c:gapWidth val="219"/>
        <c:overlap val="-27"/>
        <c:axId val="1381670176"/>
        <c:axId val="1738362352"/>
      </c:barChart>
      <c:catAx>
        <c:axId val="138167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62352"/>
        <c:crosses val="autoZero"/>
        <c:auto val="1"/>
        <c:lblAlgn val="ctr"/>
        <c:lblOffset val="100"/>
        <c:noMultiLvlLbl val="0"/>
      </c:catAx>
      <c:valAx>
        <c:axId val="173836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6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[Store_Ecommerce.xlsx]Sheet9!PivotTable3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Female</c:v>
                </c:pt>
              </c:strCache>
            </c:strRef>
          </c:tx>
          <c:spPr>
            <a:solidFill>
              <a:schemeClr val="accent1"/>
            </a:solidFill>
            <a:ln>
              <a:noFill/>
            </a:ln>
            <a:effectLst/>
          </c:spPr>
          <c:invertIfNegative val="0"/>
          <c:cat>
            <c:strRef>
              <c:f>Sheet9!$A$5:$A$10</c:f>
              <c:strCache>
                <c:ptCount val="5"/>
                <c:pt idx="0">
                  <c:v>1</c:v>
                </c:pt>
                <c:pt idx="1">
                  <c:v>2</c:v>
                </c:pt>
                <c:pt idx="2">
                  <c:v>3</c:v>
                </c:pt>
                <c:pt idx="3">
                  <c:v>4</c:v>
                </c:pt>
                <c:pt idx="4">
                  <c:v>5</c:v>
                </c:pt>
              </c:strCache>
            </c:strRef>
          </c:cat>
          <c:val>
            <c:numRef>
              <c:f>Sheet9!$B$5:$B$10</c:f>
              <c:numCache>
                <c:formatCode>General</c:formatCode>
                <c:ptCount val="5"/>
                <c:pt idx="0">
                  <c:v>15</c:v>
                </c:pt>
                <c:pt idx="1">
                  <c:v>62</c:v>
                </c:pt>
                <c:pt idx="2">
                  <c:v>247</c:v>
                </c:pt>
                <c:pt idx="3">
                  <c:v>546</c:v>
                </c:pt>
                <c:pt idx="4">
                  <c:v>361</c:v>
                </c:pt>
              </c:numCache>
            </c:numRef>
          </c:val>
          <c:extLst>
            <c:ext xmlns:c16="http://schemas.microsoft.com/office/drawing/2014/chart" uri="{C3380CC4-5D6E-409C-BE32-E72D297353CC}">
              <c16:uniqueId val="{00000000-FD3D-4ED7-8844-42D48D3FD55D}"/>
            </c:ext>
          </c:extLst>
        </c:ser>
        <c:ser>
          <c:idx val="1"/>
          <c:order val="1"/>
          <c:tx>
            <c:strRef>
              <c:f>Sheet9!$C$3:$C$4</c:f>
              <c:strCache>
                <c:ptCount val="1"/>
                <c:pt idx="0">
                  <c:v>Male</c:v>
                </c:pt>
              </c:strCache>
            </c:strRef>
          </c:tx>
          <c:spPr>
            <a:solidFill>
              <a:schemeClr val="accent2"/>
            </a:solidFill>
            <a:ln>
              <a:noFill/>
            </a:ln>
            <a:effectLst/>
          </c:spPr>
          <c:invertIfNegative val="0"/>
          <c:cat>
            <c:strRef>
              <c:f>Sheet9!$A$5:$A$10</c:f>
              <c:strCache>
                <c:ptCount val="5"/>
                <c:pt idx="0">
                  <c:v>1</c:v>
                </c:pt>
                <c:pt idx="1">
                  <c:v>2</c:v>
                </c:pt>
                <c:pt idx="2">
                  <c:v>3</c:v>
                </c:pt>
                <c:pt idx="3">
                  <c:v>4</c:v>
                </c:pt>
                <c:pt idx="4">
                  <c:v>5</c:v>
                </c:pt>
              </c:strCache>
            </c:strRef>
          </c:cat>
          <c:val>
            <c:numRef>
              <c:f>Sheet9!$C$5:$C$10</c:f>
              <c:numCache>
                <c:formatCode>General</c:formatCode>
                <c:ptCount val="5"/>
                <c:pt idx="0">
                  <c:v>4</c:v>
                </c:pt>
                <c:pt idx="1">
                  <c:v>55</c:v>
                </c:pt>
                <c:pt idx="2">
                  <c:v>190</c:v>
                </c:pt>
                <c:pt idx="3">
                  <c:v>413</c:v>
                </c:pt>
                <c:pt idx="4">
                  <c:v>297</c:v>
                </c:pt>
              </c:numCache>
            </c:numRef>
          </c:val>
          <c:extLst>
            <c:ext xmlns:c16="http://schemas.microsoft.com/office/drawing/2014/chart" uri="{C3380CC4-5D6E-409C-BE32-E72D297353CC}">
              <c16:uniqueId val="{00000001-FD3D-4ED7-8844-42D48D3FD55D}"/>
            </c:ext>
          </c:extLst>
        </c:ser>
        <c:ser>
          <c:idx val="2"/>
          <c:order val="2"/>
          <c:tx>
            <c:strRef>
              <c:f>Sheet9!$D$3:$D$4</c:f>
              <c:strCache>
                <c:ptCount val="1"/>
                <c:pt idx="0">
                  <c:v>Other</c:v>
                </c:pt>
              </c:strCache>
            </c:strRef>
          </c:tx>
          <c:spPr>
            <a:solidFill>
              <a:schemeClr val="accent3"/>
            </a:solidFill>
            <a:ln>
              <a:noFill/>
            </a:ln>
            <a:effectLst/>
          </c:spPr>
          <c:invertIfNegative val="0"/>
          <c:cat>
            <c:strRef>
              <c:f>Sheet9!$A$5:$A$10</c:f>
              <c:strCache>
                <c:ptCount val="5"/>
                <c:pt idx="0">
                  <c:v>1</c:v>
                </c:pt>
                <c:pt idx="1">
                  <c:v>2</c:v>
                </c:pt>
                <c:pt idx="2">
                  <c:v>3</c:v>
                </c:pt>
                <c:pt idx="3">
                  <c:v>4</c:v>
                </c:pt>
                <c:pt idx="4">
                  <c:v>5</c:v>
                </c:pt>
              </c:strCache>
            </c:strRef>
          </c:cat>
          <c:val>
            <c:numRef>
              <c:f>Sheet9!$D$5:$D$10</c:f>
              <c:numCache>
                <c:formatCode>General</c:formatCode>
                <c:ptCount val="5"/>
                <c:pt idx="0">
                  <c:v>1</c:v>
                </c:pt>
                <c:pt idx="1">
                  <c:v>5</c:v>
                </c:pt>
                <c:pt idx="2">
                  <c:v>21</c:v>
                </c:pt>
                <c:pt idx="3">
                  <c:v>28</c:v>
                </c:pt>
                <c:pt idx="4">
                  <c:v>20</c:v>
                </c:pt>
              </c:numCache>
            </c:numRef>
          </c:val>
          <c:extLst>
            <c:ext xmlns:c16="http://schemas.microsoft.com/office/drawing/2014/chart" uri="{C3380CC4-5D6E-409C-BE32-E72D297353CC}">
              <c16:uniqueId val="{00000002-FD3D-4ED7-8844-42D48D3FD55D}"/>
            </c:ext>
          </c:extLst>
        </c:ser>
        <c:ser>
          <c:idx val="3"/>
          <c:order val="3"/>
          <c:tx>
            <c:strRef>
              <c:f>Sheet9!$E$3:$E$4</c:f>
              <c:strCache>
                <c:ptCount val="1"/>
                <c:pt idx="0">
                  <c:v>Unknown</c:v>
                </c:pt>
              </c:strCache>
            </c:strRef>
          </c:tx>
          <c:spPr>
            <a:solidFill>
              <a:schemeClr val="accent4"/>
            </a:solidFill>
            <a:ln>
              <a:noFill/>
            </a:ln>
            <a:effectLst/>
          </c:spPr>
          <c:invertIfNegative val="0"/>
          <c:cat>
            <c:strRef>
              <c:f>Sheet9!$A$5:$A$10</c:f>
              <c:strCache>
                <c:ptCount val="5"/>
                <c:pt idx="0">
                  <c:v>1</c:v>
                </c:pt>
                <c:pt idx="1">
                  <c:v>2</c:v>
                </c:pt>
                <c:pt idx="2">
                  <c:v>3</c:v>
                </c:pt>
                <c:pt idx="3">
                  <c:v>4</c:v>
                </c:pt>
                <c:pt idx="4">
                  <c:v>5</c:v>
                </c:pt>
              </c:strCache>
            </c:strRef>
          </c:cat>
          <c:val>
            <c:numRef>
              <c:f>Sheet9!$E$5:$E$10</c:f>
              <c:numCache>
                <c:formatCode>General</c:formatCode>
                <c:ptCount val="5"/>
                <c:pt idx="0">
                  <c:v>1</c:v>
                </c:pt>
                <c:pt idx="1">
                  <c:v>5</c:v>
                </c:pt>
                <c:pt idx="2">
                  <c:v>37</c:v>
                </c:pt>
                <c:pt idx="3">
                  <c:v>49</c:v>
                </c:pt>
                <c:pt idx="4">
                  <c:v>43</c:v>
                </c:pt>
              </c:numCache>
            </c:numRef>
          </c:val>
          <c:extLst>
            <c:ext xmlns:c16="http://schemas.microsoft.com/office/drawing/2014/chart" uri="{C3380CC4-5D6E-409C-BE32-E72D297353CC}">
              <c16:uniqueId val="{00000003-FD3D-4ED7-8844-42D48D3FD55D}"/>
            </c:ext>
          </c:extLst>
        </c:ser>
        <c:dLbls>
          <c:showLegendKey val="0"/>
          <c:showVal val="0"/>
          <c:showCatName val="0"/>
          <c:showSerName val="0"/>
          <c:showPercent val="0"/>
          <c:showBubbleSize val="0"/>
        </c:dLbls>
        <c:gapWidth val="219"/>
        <c:overlap val="-27"/>
        <c:axId val="1569886000"/>
        <c:axId val="1738375312"/>
      </c:barChart>
      <c:catAx>
        <c:axId val="15698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75312"/>
        <c:crosses val="autoZero"/>
        <c:auto val="1"/>
        <c:lblAlgn val="ctr"/>
        <c:lblOffset val="100"/>
        <c:noMultiLvlLbl val="0"/>
      </c:catAx>
      <c:valAx>
        <c:axId val="173837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[Store_Ecommerce.xlsx]Pivots!PivotTable2</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Sum of Quantity</c:v>
                </c:pt>
              </c:strCache>
            </c:strRef>
          </c:tx>
          <c:spPr>
            <a:ln w="28575" cap="rnd">
              <a:solidFill>
                <a:schemeClr val="accent1"/>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Pivots!$B$14:$B$27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A05-4210-9938-8AFF3D4257F6}"/>
            </c:ext>
          </c:extLst>
        </c:ser>
        <c:ser>
          <c:idx val="1"/>
          <c:order val="1"/>
          <c:tx>
            <c:strRef>
              <c:f>Pivots!$C$13</c:f>
              <c:strCache>
                <c:ptCount val="1"/>
                <c:pt idx="0">
                  <c:v>Sum of Amount</c:v>
                </c:pt>
              </c:strCache>
            </c:strRef>
          </c:tx>
          <c:spPr>
            <a:ln w="28575" cap="rnd">
              <a:solidFill>
                <a:schemeClr val="accent2"/>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Pivots!$C$14:$C$27</c:f>
              <c:numCache>
                <c:formatCode>_("₹"* #,##0_);_("₹"* \(#,##0\);_("₹"* "-"_);_(@_)</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A05-4210-9938-8AFF3D4257F6}"/>
            </c:ext>
          </c:extLst>
        </c:ser>
        <c:dLbls>
          <c:showLegendKey val="0"/>
          <c:showVal val="0"/>
          <c:showCatName val="0"/>
          <c:showSerName val="0"/>
          <c:showPercent val="0"/>
          <c:showBubbleSize val="0"/>
        </c:dLbls>
        <c:smooth val="0"/>
        <c:axId val="1327432656"/>
        <c:axId val="1327442256"/>
      </c:lineChart>
      <c:catAx>
        <c:axId val="13274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42256"/>
        <c:crosses val="autoZero"/>
        <c:auto val="1"/>
        <c:lblAlgn val="ctr"/>
        <c:lblOffset val="100"/>
        <c:noMultiLvlLbl val="0"/>
      </c:catAx>
      <c:valAx>
        <c:axId val="132744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3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[Store_Ecommerce.xlsx]Pivots!PivotTable2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Weekly Sales &amp; Quantity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Sum of Quantity</c:v>
                </c:pt>
              </c:strCache>
            </c:strRef>
          </c:tx>
          <c:spPr>
            <a:ln w="28575" cap="rnd">
              <a:solidFill>
                <a:schemeClr val="accent1"/>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Pivots!$B$14:$B$27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EDC-42F4-90EB-B922DA674211}"/>
            </c:ext>
          </c:extLst>
        </c:ser>
        <c:dLbls>
          <c:showLegendKey val="0"/>
          <c:showVal val="0"/>
          <c:showCatName val="0"/>
          <c:showSerName val="0"/>
          <c:showPercent val="0"/>
          <c:showBubbleSize val="0"/>
        </c:dLbls>
        <c:marker val="1"/>
        <c:smooth val="0"/>
        <c:axId val="1327432656"/>
        <c:axId val="1327442256"/>
      </c:lineChart>
      <c:lineChart>
        <c:grouping val="standard"/>
        <c:varyColors val="0"/>
        <c:ser>
          <c:idx val="1"/>
          <c:order val="1"/>
          <c:tx>
            <c:strRef>
              <c:f>Pivots!$C$13</c:f>
              <c:strCache>
                <c:ptCount val="1"/>
                <c:pt idx="0">
                  <c:v>Sum of Amount</c:v>
                </c:pt>
              </c:strCache>
            </c:strRef>
          </c:tx>
          <c:spPr>
            <a:ln w="28575" cap="rnd">
              <a:solidFill>
                <a:schemeClr val="accent2"/>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Pivots!$C$14:$C$27</c:f>
              <c:numCache>
                <c:formatCode>_("₹"* #,##0_);_("₹"* \(#,##0\);_("₹"* "-"_);_(@_)</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EDC-42F4-90EB-B922DA674211}"/>
            </c:ext>
          </c:extLst>
        </c:ser>
        <c:dLbls>
          <c:showLegendKey val="0"/>
          <c:showVal val="0"/>
          <c:showCatName val="0"/>
          <c:showSerName val="0"/>
          <c:showPercent val="0"/>
          <c:showBubbleSize val="0"/>
        </c:dLbls>
        <c:marker val="1"/>
        <c:smooth val="0"/>
        <c:axId val="1327459536"/>
        <c:axId val="1327442736"/>
      </c:lineChart>
      <c:catAx>
        <c:axId val="13274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42256"/>
        <c:crosses val="autoZero"/>
        <c:auto val="1"/>
        <c:lblAlgn val="ctr"/>
        <c:lblOffset val="100"/>
        <c:noMultiLvlLbl val="0"/>
      </c:catAx>
      <c:valAx>
        <c:axId val="132744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32656"/>
        <c:crosses val="autoZero"/>
        <c:crossBetween val="between"/>
      </c:valAx>
      <c:valAx>
        <c:axId val="1327442736"/>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59536"/>
        <c:crosses val="max"/>
        <c:crossBetween val="between"/>
      </c:valAx>
      <c:catAx>
        <c:axId val="1327459536"/>
        <c:scaling>
          <c:orientation val="minMax"/>
        </c:scaling>
        <c:delete val="1"/>
        <c:axPos val="b"/>
        <c:numFmt formatCode="General" sourceLinked="1"/>
        <c:majorTickMark val="out"/>
        <c:minorTickMark val="none"/>
        <c:tickLblPos val="nextTo"/>
        <c:crossAx val="1327442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[Store_Ecommerce.xlsx]Sheet3!PivotTable2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Orders by Quantity</a:t>
            </a:r>
            <a:endParaRPr lang="en-IN" b="1"/>
          </a:p>
        </c:rich>
      </c:tx>
      <c:layout>
        <c:manualLayout>
          <c:xMode val="edge"/>
          <c:yMode val="edge"/>
          <c:x val="0.36160223515478035"/>
          <c:y val="5.12525233163415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08606636657769E-2"/>
          <c:y val="0.18005509365472044"/>
          <c:w val="0.82800424133527106"/>
          <c:h val="0.61598232630298955"/>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2</c:v>
                </c:pt>
                <c:pt idx="1">
                  <c:v>Group 6 to 10</c:v>
                </c:pt>
                <c:pt idx="2">
                  <c:v>1</c:v>
                </c:pt>
                <c:pt idx="3">
                  <c:v>3</c:v>
                </c:pt>
                <c:pt idx="4">
                  <c:v>4</c:v>
                </c:pt>
                <c:pt idx="5">
                  <c:v>Group from 11</c:v>
                </c:pt>
                <c:pt idx="6">
                  <c:v>5</c:v>
                </c:pt>
              </c:strCache>
            </c:strRef>
          </c:cat>
          <c:val>
            <c:numRef>
              <c:f>Sheet3!$B$4:$B$11</c:f>
              <c:numCache>
                <c:formatCode>General</c:formatCode>
                <c:ptCount val="7"/>
                <c:pt idx="0">
                  <c:v>540</c:v>
                </c:pt>
                <c:pt idx="1">
                  <c:v>414</c:v>
                </c:pt>
                <c:pt idx="2">
                  <c:v>397</c:v>
                </c:pt>
                <c:pt idx="3">
                  <c:v>375</c:v>
                </c:pt>
                <c:pt idx="4">
                  <c:v>246</c:v>
                </c:pt>
                <c:pt idx="5">
                  <c:v>233</c:v>
                </c:pt>
                <c:pt idx="6">
                  <c:v>195</c:v>
                </c:pt>
              </c:numCache>
            </c:numRef>
          </c:val>
          <c:extLst>
            <c:ext xmlns:c16="http://schemas.microsoft.com/office/drawing/2014/chart" uri="{C3380CC4-5D6E-409C-BE32-E72D297353CC}">
              <c16:uniqueId val="{00000000-AD3A-410A-8360-EE26CCD6D1A0}"/>
            </c:ext>
          </c:extLst>
        </c:ser>
        <c:dLbls>
          <c:showLegendKey val="0"/>
          <c:showVal val="0"/>
          <c:showCatName val="0"/>
          <c:showSerName val="0"/>
          <c:showPercent val="0"/>
          <c:showBubbleSize val="0"/>
        </c:dLbls>
        <c:gapWidth val="219"/>
        <c:overlap val="-27"/>
        <c:axId val="1931437839"/>
        <c:axId val="1697134063"/>
      </c:barChart>
      <c:catAx>
        <c:axId val="19314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34063"/>
        <c:crosses val="autoZero"/>
        <c:auto val="1"/>
        <c:lblAlgn val="ctr"/>
        <c:lblOffset val="100"/>
        <c:noMultiLvlLbl val="0"/>
      </c:catAx>
      <c:valAx>
        <c:axId val="169713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[Store_Ecommerce.xlsx]Sheet5!PivotTable4</c:name>
    <c:fmtId val="28"/>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1"/>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Sheet5!$B$5:$B$25</c:f>
              <c:numCache>
                <c:formatCode>General</c:formatCode>
                <c:ptCount val="20"/>
                <c:pt idx="0">
                  <c:v>26</c:v>
                </c:pt>
                <c:pt idx="1">
                  <c:v>43</c:v>
                </c:pt>
                <c:pt idx="2">
                  <c:v>75</c:v>
                </c:pt>
                <c:pt idx="3">
                  <c:v>99</c:v>
                </c:pt>
                <c:pt idx="4">
                  <c:v>179</c:v>
                </c:pt>
                <c:pt idx="5">
                  <c:v>127</c:v>
                </c:pt>
                <c:pt idx="6">
                  <c:v>146</c:v>
                </c:pt>
                <c:pt idx="7">
                  <c:v>234</c:v>
                </c:pt>
                <c:pt idx="8">
                  <c:v>189</c:v>
                </c:pt>
                <c:pt idx="9">
                  <c:v>153</c:v>
                </c:pt>
                <c:pt idx="10">
                  <c:v>296</c:v>
                </c:pt>
                <c:pt idx="11">
                  <c:v>264</c:v>
                </c:pt>
                <c:pt idx="12">
                  <c:v>431</c:v>
                </c:pt>
                <c:pt idx="13">
                  <c:v>445</c:v>
                </c:pt>
                <c:pt idx="14">
                  <c:v>428</c:v>
                </c:pt>
                <c:pt idx="15">
                  <c:v>482</c:v>
                </c:pt>
                <c:pt idx="16">
                  <c:v>568</c:v>
                </c:pt>
                <c:pt idx="17">
                  <c:v>627</c:v>
                </c:pt>
                <c:pt idx="18">
                  <c:v>716</c:v>
                </c:pt>
                <c:pt idx="19">
                  <c:v>744</c:v>
                </c:pt>
              </c:numCache>
            </c:numRef>
          </c:val>
          <c:extLst>
            <c:ext xmlns:c16="http://schemas.microsoft.com/office/drawing/2014/chart" uri="{C3380CC4-5D6E-409C-BE32-E72D297353CC}">
              <c16:uniqueId val="{00000000-0D23-4C89-8B95-0E7349C1F980}"/>
            </c:ext>
          </c:extLst>
        </c:ser>
        <c:ser>
          <c:idx val="1"/>
          <c:order val="1"/>
          <c:tx>
            <c:strRef>
              <c:f>Sheet5!$C$3:$C$4</c:f>
              <c:strCache>
                <c:ptCount val="1"/>
                <c:pt idx="0">
                  <c:v>Male</c:v>
                </c:pt>
              </c:strCache>
            </c:strRef>
          </c:tx>
          <c:spPr>
            <a:solidFill>
              <a:schemeClr val="accent2"/>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Sheet5!$C$5:$C$25</c:f>
              <c:numCache>
                <c:formatCode>General</c:formatCode>
                <c:ptCount val="20"/>
                <c:pt idx="0">
                  <c:v>35</c:v>
                </c:pt>
                <c:pt idx="1">
                  <c:v>90</c:v>
                </c:pt>
                <c:pt idx="2">
                  <c:v>103</c:v>
                </c:pt>
                <c:pt idx="3">
                  <c:v>69</c:v>
                </c:pt>
                <c:pt idx="4">
                  <c:v>76</c:v>
                </c:pt>
                <c:pt idx="5">
                  <c:v>118</c:v>
                </c:pt>
                <c:pt idx="6">
                  <c:v>94</c:v>
                </c:pt>
                <c:pt idx="7">
                  <c:v>93</c:v>
                </c:pt>
                <c:pt idx="8">
                  <c:v>168</c:v>
                </c:pt>
                <c:pt idx="9">
                  <c:v>246</c:v>
                </c:pt>
                <c:pt idx="10">
                  <c:v>275</c:v>
                </c:pt>
                <c:pt idx="11">
                  <c:v>318</c:v>
                </c:pt>
                <c:pt idx="12">
                  <c:v>187</c:v>
                </c:pt>
                <c:pt idx="13">
                  <c:v>202</c:v>
                </c:pt>
                <c:pt idx="14">
                  <c:v>293</c:v>
                </c:pt>
                <c:pt idx="15">
                  <c:v>295</c:v>
                </c:pt>
                <c:pt idx="16">
                  <c:v>306</c:v>
                </c:pt>
                <c:pt idx="17">
                  <c:v>393</c:v>
                </c:pt>
                <c:pt idx="18">
                  <c:v>598</c:v>
                </c:pt>
                <c:pt idx="19">
                  <c:v>713</c:v>
                </c:pt>
              </c:numCache>
            </c:numRef>
          </c:val>
          <c:extLst>
            <c:ext xmlns:c16="http://schemas.microsoft.com/office/drawing/2014/chart" uri="{C3380CC4-5D6E-409C-BE32-E72D297353CC}">
              <c16:uniqueId val="{00000001-0D23-4C89-8B95-0E7349C1F980}"/>
            </c:ext>
          </c:extLst>
        </c:ser>
        <c:ser>
          <c:idx val="2"/>
          <c:order val="2"/>
          <c:tx>
            <c:strRef>
              <c:f>Sheet5!$D$3:$D$4</c:f>
              <c:strCache>
                <c:ptCount val="1"/>
                <c:pt idx="0">
                  <c:v>Other</c:v>
                </c:pt>
              </c:strCache>
            </c:strRef>
          </c:tx>
          <c:spPr>
            <a:solidFill>
              <a:schemeClr val="accent3"/>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Sheet5!$D$5:$D$25</c:f>
              <c:numCache>
                <c:formatCode>General</c:formatCode>
                <c:ptCount val="20"/>
                <c:pt idx="0">
                  <c:v>4</c:v>
                </c:pt>
                <c:pt idx="1">
                  <c:v>8</c:v>
                </c:pt>
                <c:pt idx="2">
                  <c:v>4</c:v>
                </c:pt>
                <c:pt idx="3">
                  <c:v>3</c:v>
                </c:pt>
                <c:pt idx="4">
                  <c:v>3</c:v>
                </c:pt>
                <c:pt idx="5">
                  <c:v>13</c:v>
                </c:pt>
                <c:pt idx="6">
                  <c:v>4</c:v>
                </c:pt>
                <c:pt idx="7">
                  <c:v>19</c:v>
                </c:pt>
                <c:pt idx="8">
                  <c:v>10</c:v>
                </c:pt>
                <c:pt idx="9">
                  <c:v>30</c:v>
                </c:pt>
                <c:pt idx="10">
                  <c:v>9</c:v>
                </c:pt>
                <c:pt idx="11">
                  <c:v>15</c:v>
                </c:pt>
                <c:pt idx="12">
                  <c:v>14</c:v>
                </c:pt>
                <c:pt idx="13">
                  <c:v>14</c:v>
                </c:pt>
                <c:pt idx="15">
                  <c:v>8</c:v>
                </c:pt>
                <c:pt idx="16">
                  <c:v>22</c:v>
                </c:pt>
                <c:pt idx="17">
                  <c:v>29</c:v>
                </c:pt>
                <c:pt idx="18">
                  <c:v>18</c:v>
                </c:pt>
                <c:pt idx="19">
                  <c:v>90</c:v>
                </c:pt>
              </c:numCache>
            </c:numRef>
          </c:val>
          <c:extLst>
            <c:ext xmlns:c16="http://schemas.microsoft.com/office/drawing/2014/chart" uri="{C3380CC4-5D6E-409C-BE32-E72D297353CC}">
              <c16:uniqueId val="{00000002-0D23-4C89-8B95-0E7349C1F980}"/>
            </c:ext>
          </c:extLst>
        </c:ser>
        <c:ser>
          <c:idx val="3"/>
          <c:order val="3"/>
          <c:tx>
            <c:strRef>
              <c:f>Sheet5!$E$3:$E$4</c:f>
              <c:strCache>
                <c:ptCount val="1"/>
                <c:pt idx="0">
                  <c:v>Unknown</c:v>
                </c:pt>
              </c:strCache>
            </c:strRef>
          </c:tx>
          <c:spPr>
            <a:solidFill>
              <a:schemeClr val="accent4"/>
            </a:solidFill>
            <a:ln>
              <a:noFill/>
            </a:ln>
            <a:effectLst/>
          </c:spPr>
          <c:invertIfNegative val="0"/>
          <c:cat>
            <c:strRef>
              <c:f>Sheet5!$A$5:$A$25</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Sheet5!$E$5:$E$25</c:f>
              <c:numCache>
                <c:formatCode>General</c:formatCode>
                <c:ptCount val="20"/>
                <c:pt idx="1">
                  <c:v>6</c:v>
                </c:pt>
                <c:pt idx="2">
                  <c:v>6</c:v>
                </c:pt>
                <c:pt idx="3">
                  <c:v>24</c:v>
                </c:pt>
                <c:pt idx="5">
                  <c:v>12</c:v>
                </c:pt>
                <c:pt idx="6">
                  <c:v>28</c:v>
                </c:pt>
                <c:pt idx="7">
                  <c:v>24</c:v>
                </c:pt>
                <c:pt idx="8">
                  <c:v>31</c:v>
                </c:pt>
                <c:pt idx="9">
                  <c:v>8</c:v>
                </c:pt>
                <c:pt idx="10">
                  <c:v>23</c:v>
                </c:pt>
                <c:pt idx="11">
                  <c:v>9</c:v>
                </c:pt>
                <c:pt idx="12">
                  <c:v>15</c:v>
                </c:pt>
                <c:pt idx="13">
                  <c:v>39</c:v>
                </c:pt>
                <c:pt idx="14">
                  <c:v>24</c:v>
                </c:pt>
                <c:pt idx="15">
                  <c:v>22</c:v>
                </c:pt>
                <c:pt idx="16">
                  <c:v>16</c:v>
                </c:pt>
                <c:pt idx="17">
                  <c:v>137</c:v>
                </c:pt>
                <c:pt idx="18">
                  <c:v>214</c:v>
                </c:pt>
                <c:pt idx="19">
                  <c:v>98</c:v>
                </c:pt>
              </c:numCache>
            </c:numRef>
          </c:val>
          <c:extLst>
            <c:ext xmlns:c16="http://schemas.microsoft.com/office/drawing/2014/chart" uri="{C3380CC4-5D6E-409C-BE32-E72D297353CC}">
              <c16:uniqueId val="{00000003-0D23-4C89-8B95-0E7349C1F980}"/>
            </c:ext>
          </c:extLst>
        </c:ser>
        <c:dLbls>
          <c:showLegendKey val="0"/>
          <c:showVal val="0"/>
          <c:showCatName val="0"/>
          <c:showSerName val="0"/>
          <c:showPercent val="0"/>
          <c:showBubbleSize val="0"/>
        </c:dLbls>
        <c:gapWidth val="150"/>
        <c:overlap val="100"/>
        <c:axId val="1959282639"/>
        <c:axId val="1697093743"/>
      </c:barChart>
      <c:catAx>
        <c:axId val="195928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93743"/>
        <c:crosses val="autoZero"/>
        <c:auto val="1"/>
        <c:lblAlgn val="ctr"/>
        <c:lblOffset val="100"/>
        <c:noMultiLvlLbl val="0"/>
      </c:catAx>
      <c:valAx>
        <c:axId val="1697093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8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[Store_Ecommerce.xlsx]Sheet6!PivotTable5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s>
    <c:plotArea>
      <c:layout/>
      <c:pieChart>
        <c:varyColors val="1"/>
        <c:ser>
          <c:idx val="0"/>
          <c:order val="0"/>
          <c:tx>
            <c:strRef>
              <c:f>Sheet6!$B$3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D6-4E76-BEFE-DFDA2E874E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D6-4E76-BEFE-DFDA2E874E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D6-4E76-BEFE-DFDA2E874E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D6-4E76-BEFE-DFDA2E874E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F9-4DA3-90C2-D2A369DE88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F9-4DA3-90C2-D2A369DE88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DF9-4DA3-90C2-D2A369DE88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DF9-4DA3-90C2-D2A369DE88D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DF9-4DA3-90C2-D2A369DE88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DF9-4DA3-90C2-D2A369DE88D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DF9-4DA3-90C2-D2A369DE88D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DF9-4DA3-90C2-D2A369DE88D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DF9-4DA3-90C2-D2A369DE88D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DF9-4DA3-90C2-D2A369DE88D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DF9-4DA3-90C2-D2A369DE88D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DF9-4DA3-90C2-D2A369DE88D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DF9-4DA3-90C2-D2A369DE88D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DF9-4DA3-90C2-D2A369DE88D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DF9-4DA3-90C2-D2A369DE88D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DF9-4DA3-90C2-D2A369DE88D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DF9-4DA3-90C2-D2A369DE88D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DF9-4DA3-90C2-D2A369DE88D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DF9-4DA3-90C2-D2A369DE88D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DF9-4DA3-90C2-D2A369DE88D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DF9-4DA3-90C2-D2A369DE88D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DF9-4DA3-90C2-D2A369DE88D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DF9-4DA3-90C2-D2A369DE88D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DF9-4DA3-90C2-D2A369DE88D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DF9-4DA3-90C2-D2A369DE88D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DF9-4DA3-90C2-D2A369DE88D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DF9-4DA3-90C2-D2A369DE88D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DF9-4DA3-90C2-D2A369DE88D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DF9-4DA3-90C2-D2A369DE88D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DF9-4DA3-90C2-D2A369DE88D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DF9-4DA3-90C2-D2A369DE88D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DF9-4DA3-90C2-D2A369DE88D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DF9-4DA3-90C2-D2A369DE88D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DF9-4DA3-90C2-D2A369DE88D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DF9-4DA3-90C2-D2A369DE88D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DF9-4DA3-90C2-D2A369DE88D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DF9-4DA3-90C2-D2A369DE88D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DF9-4DA3-90C2-D2A369DE88D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DF9-4DA3-90C2-D2A369DE88D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DF9-4DA3-90C2-D2A369DE88D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DF9-4DA3-90C2-D2A369DE88D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DF9-4DA3-90C2-D2A369DE88D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DF9-4DA3-90C2-D2A369DE88D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DF9-4DA3-90C2-D2A369DE88D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DF9-4DA3-90C2-D2A369DE88D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DF9-4DA3-90C2-D2A369DE88D7}"/>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DF9-4DA3-90C2-D2A369DE88D7}"/>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EDF9-4DA3-90C2-D2A369DE88D7}"/>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EDF9-4DA3-90C2-D2A369DE88D7}"/>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EDF9-4DA3-90C2-D2A369DE88D7}"/>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EDF9-4DA3-90C2-D2A369DE88D7}"/>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EDF9-4DA3-90C2-D2A369DE88D7}"/>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EDF9-4DA3-90C2-D2A369DE88D7}"/>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EDF9-4DA3-90C2-D2A369DE8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Sheet6!$A$4:$A$63</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Sheet6!$B$4:$B$63</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extLst>
            <c:ext xmlns:c16="http://schemas.microsoft.com/office/drawing/2014/chart" uri="{C3380CC4-5D6E-409C-BE32-E72D297353CC}">
              <c16:uniqueId val="{00000008-5AD6-4E76-BEFE-DFDA2E874E22}"/>
            </c:ext>
          </c:extLst>
        </c:ser>
        <c:ser>
          <c:idx val="1"/>
          <c:order val="1"/>
          <c:tx>
            <c:strRef>
              <c:f>Sheet6!$C$3</c:f>
              <c:strCache>
                <c:ptCount val="1"/>
                <c:pt idx="0">
                  <c:v>Sum of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5-EDF9-4DA3-90C2-D2A369DE88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7-EDF9-4DA3-90C2-D2A369DE88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9-EDF9-4DA3-90C2-D2A369DE88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B-EDF9-4DA3-90C2-D2A369DE88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D-EDF9-4DA3-90C2-D2A369DE88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F-EDF9-4DA3-90C2-D2A369DE88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1-EDF9-4DA3-90C2-D2A369DE88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3-EDF9-4DA3-90C2-D2A369DE88D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5-EDF9-4DA3-90C2-D2A369DE88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7-EDF9-4DA3-90C2-D2A369DE88D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9-EDF9-4DA3-90C2-D2A369DE88D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B-EDF9-4DA3-90C2-D2A369DE88D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D-EDF9-4DA3-90C2-D2A369DE88D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F-EDF9-4DA3-90C2-D2A369DE88D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1-EDF9-4DA3-90C2-D2A369DE88D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3-EDF9-4DA3-90C2-D2A369DE88D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5-EDF9-4DA3-90C2-D2A369DE88D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7-EDF9-4DA3-90C2-D2A369DE88D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9-EDF9-4DA3-90C2-D2A369DE88D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B-EDF9-4DA3-90C2-D2A369DE88D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D-EDF9-4DA3-90C2-D2A369DE88D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F-EDF9-4DA3-90C2-D2A369DE88D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1-EDF9-4DA3-90C2-D2A369DE88D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3-EDF9-4DA3-90C2-D2A369DE88D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5-EDF9-4DA3-90C2-D2A369DE88D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7-EDF9-4DA3-90C2-D2A369DE88D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9-EDF9-4DA3-90C2-D2A369DE88D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B-EDF9-4DA3-90C2-D2A369DE88D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D-EDF9-4DA3-90C2-D2A369DE88D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F-EDF9-4DA3-90C2-D2A369DE88D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1-EDF9-4DA3-90C2-D2A369DE88D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3-EDF9-4DA3-90C2-D2A369DE88D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5-EDF9-4DA3-90C2-D2A369DE88D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7-EDF9-4DA3-90C2-D2A369DE88D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9-EDF9-4DA3-90C2-D2A369DE88D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B-EDF9-4DA3-90C2-D2A369DE88D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D-EDF9-4DA3-90C2-D2A369DE88D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F-EDF9-4DA3-90C2-D2A369DE88D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1-EDF9-4DA3-90C2-D2A369DE88D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3-EDF9-4DA3-90C2-D2A369DE88D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5-EDF9-4DA3-90C2-D2A369DE88D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7-EDF9-4DA3-90C2-D2A369DE88D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9-EDF9-4DA3-90C2-D2A369DE88D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B-EDF9-4DA3-90C2-D2A369DE88D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D-EDF9-4DA3-90C2-D2A369DE88D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F-EDF9-4DA3-90C2-D2A369DE88D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1-EDF9-4DA3-90C2-D2A369DE88D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3-EDF9-4DA3-90C2-D2A369DE88D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5-EDF9-4DA3-90C2-D2A369DE88D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7-EDF9-4DA3-90C2-D2A369DE88D7}"/>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9-EDF9-4DA3-90C2-D2A369DE88D7}"/>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B-EDF9-4DA3-90C2-D2A369DE88D7}"/>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D-EDF9-4DA3-90C2-D2A369DE88D7}"/>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F-EDF9-4DA3-90C2-D2A369DE88D7}"/>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1-EDF9-4DA3-90C2-D2A369DE88D7}"/>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3-EDF9-4DA3-90C2-D2A369DE88D7}"/>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5-EDF9-4DA3-90C2-D2A369DE88D7}"/>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7-EDF9-4DA3-90C2-D2A369DE8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Sheet6!$A$4:$A$63</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Sheet6!$C$4:$C$63</c:f>
              <c:numCache>
                <c:formatCode>General</c:formatCode>
                <c:ptCount val="58"/>
                <c:pt idx="0">
                  <c:v>31884.999999999996</c:v>
                </c:pt>
                <c:pt idx="1">
                  <c:v>10.9</c:v>
                </c:pt>
                <c:pt idx="2">
                  <c:v>800.3</c:v>
                </c:pt>
                <c:pt idx="3">
                  <c:v>1062.5999999999999</c:v>
                </c:pt>
                <c:pt idx="4">
                  <c:v>326.20000000000005</c:v>
                </c:pt>
                <c:pt idx="5">
                  <c:v>167.5</c:v>
                </c:pt>
                <c:pt idx="6">
                  <c:v>16168.7</c:v>
                </c:pt>
                <c:pt idx="7">
                  <c:v>322.40000000000003</c:v>
                </c:pt>
                <c:pt idx="8">
                  <c:v>2092.8000000000002</c:v>
                </c:pt>
                <c:pt idx="9">
                  <c:v>12662.500000000002</c:v>
                </c:pt>
                <c:pt idx="10">
                  <c:v>343.2</c:v>
                </c:pt>
                <c:pt idx="11">
                  <c:v>2188.2999999999997</c:v>
                </c:pt>
                <c:pt idx="12">
                  <c:v>2661.5999999999995</c:v>
                </c:pt>
                <c:pt idx="13">
                  <c:v>887.5</c:v>
                </c:pt>
                <c:pt idx="14">
                  <c:v>11354.199999999993</c:v>
                </c:pt>
                <c:pt idx="15">
                  <c:v>1558.4</c:v>
                </c:pt>
                <c:pt idx="16">
                  <c:v>2223.9</c:v>
                </c:pt>
                <c:pt idx="17">
                  <c:v>26.2</c:v>
                </c:pt>
                <c:pt idx="18">
                  <c:v>215551.19999999981</c:v>
                </c:pt>
                <c:pt idx="19">
                  <c:v>2687.3999999999996</c:v>
                </c:pt>
                <c:pt idx="20">
                  <c:v>1463.3000000000002</c:v>
                </c:pt>
                <c:pt idx="21">
                  <c:v>445.79999999999995</c:v>
                </c:pt>
                <c:pt idx="22">
                  <c:v>273.59999999999997</c:v>
                </c:pt>
                <c:pt idx="23">
                  <c:v>2690.4</c:v>
                </c:pt>
                <c:pt idx="24">
                  <c:v>28.4</c:v>
                </c:pt>
                <c:pt idx="25">
                  <c:v>204.8</c:v>
                </c:pt>
                <c:pt idx="26">
                  <c:v>1607.8999999999999</c:v>
                </c:pt>
                <c:pt idx="27">
                  <c:v>6444.9</c:v>
                </c:pt>
                <c:pt idx="28">
                  <c:v>1809.3</c:v>
                </c:pt>
                <c:pt idx="29">
                  <c:v>9680.399999999996</c:v>
                </c:pt>
                <c:pt idx="30">
                  <c:v>9414.7999999999993</c:v>
                </c:pt>
                <c:pt idx="31">
                  <c:v>206.1</c:v>
                </c:pt>
                <c:pt idx="32">
                  <c:v>7691.3</c:v>
                </c:pt>
                <c:pt idx="33">
                  <c:v>37784.900000000016</c:v>
                </c:pt>
                <c:pt idx="34">
                  <c:v>1129.7</c:v>
                </c:pt>
                <c:pt idx="35">
                  <c:v>20988.9</c:v>
                </c:pt>
                <c:pt idx="36">
                  <c:v>98367.099999999977</c:v>
                </c:pt>
                <c:pt idx="37">
                  <c:v>21911.9</c:v>
                </c:pt>
                <c:pt idx="38">
                  <c:v>5441.2</c:v>
                </c:pt>
                <c:pt idx="39">
                  <c:v>392.8</c:v>
                </c:pt>
                <c:pt idx="40">
                  <c:v>16172.000000000005</c:v>
                </c:pt>
                <c:pt idx="41">
                  <c:v>4334.9999999999991</c:v>
                </c:pt>
                <c:pt idx="42">
                  <c:v>37449.000000000007</c:v>
                </c:pt>
                <c:pt idx="43">
                  <c:v>2447.5</c:v>
                </c:pt>
                <c:pt idx="44">
                  <c:v>3391.1</c:v>
                </c:pt>
                <c:pt idx="45">
                  <c:v>30.8</c:v>
                </c:pt>
                <c:pt idx="46">
                  <c:v>332.3</c:v>
                </c:pt>
                <c:pt idx="47">
                  <c:v>3175.9999999999995</c:v>
                </c:pt>
                <c:pt idx="48">
                  <c:v>20939.600000000002</c:v>
                </c:pt>
                <c:pt idx="49">
                  <c:v>10185.899999999996</c:v>
                </c:pt>
                <c:pt idx="50">
                  <c:v>958.7</c:v>
                </c:pt>
                <c:pt idx="51">
                  <c:v>323</c:v>
                </c:pt>
                <c:pt idx="52">
                  <c:v>167.70000000000002</c:v>
                </c:pt>
                <c:pt idx="53">
                  <c:v>3978.5</c:v>
                </c:pt>
                <c:pt idx="54">
                  <c:v>1405</c:v>
                </c:pt>
                <c:pt idx="55">
                  <c:v>9869.0999999999985</c:v>
                </c:pt>
                <c:pt idx="56">
                  <c:v>615.29999999999995</c:v>
                </c:pt>
                <c:pt idx="57">
                  <c:v>285</c:v>
                </c:pt>
              </c:numCache>
            </c:numRef>
          </c:val>
          <c:extLst>
            <c:ext xmlns:c16="http://schemas.microsoft.com/office/drawing/2014/chart" uri="{C3380CC4-5D6E-409C-BE32-E72D297353CC}">
              <c16:uniqueId val="{00000008-0CF3-4BA2-BB02-78448469F46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[Store_Ecommerce.xlsx]Sheet8!PivotTable2</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Delivery Days Distribution</a:t>
            </a:r>
            <a:r>
              <a:rPr lang="en-US"/>
              <a:t>l</a:t>
            </a:r>
          </a:p>
        </c:rich>
      </c:tx>
      <c:layout>
        <c:manualLayout>
          <c:xMode val="edge"/>
          <c:yMode val="edge"/>
          <c:x val="0.3423538836219735"/>
          <c:y val="3.831561453989711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62755148316391E-2"/>
          <c:y val="0.17248895677858914"/>
          <c:w val="0.76537551365991452"/>
          <c:h val="0.69739925448702522"/>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Sheet8!$B$4:$B$19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4F8-4514-A351-0F6F0FB8933D}"/>
            </c:ext>
          </c:extLst>
        </c:ser>
        <c:dLbls>
          <c:showLegendKey val="0"/>
          <c:showVal val="0"/>
          <c:showCatName val="0"/>
          <c:showSerName val="0"/>
          <c:showPercent val="0"/>
          <c:showBubbleSize val="0"/>
        </c:dLbls>
        <c:gapWidth val="219"/>
        <c:overlap val="-27"/>
        <c:axId val="1381670176"/>
        <c:axId val="1738362352"/>
      </c:barChart>
      <c:catAx>
        <c:axId val="138167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62352"/>
        <c:crosses val="autoZero"/>
        <c:auto val="1"/>
        <c:lblAlgn val="ctr"/>
        <c:lblOffset val="100"/>
        <c:noMultiLvlLbl val="0"/>
      </c:catAx>
      <c:valAx>
        <c:axId val="173836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6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[Store_Ecommerce.xlsx]Sheet9!PivotTable3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Ratings</a:t>
            </a:r>
            <a:endParaRPr lang="en-IN" b="1"/>
          </a:p>
        </c:rich>
      </c:tx>
      <c:layout>
        <c:manualLayout>
          <c:xMode val="edge"/>
          <c:yMode val="edge"/>
          <c:x val="0.37517744492587968"/>
          <c:y val="4.3183879670733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60652850893137E-2"/>
          <c:y val="0.19610632452123986"/>
          <c:w val="0.75404400753352363"/>
          <c:h val="0.59289220451575564"/>
        </c:manualLayout>
      </c:layout>
      <c:barChart>
        <c:barDir val="col"/>
        <c:grouping val="clustered"/>
        <c:varyColors val="0"/>
        <c:ser>
          <c:idx val="0"/>
          <c:order val="0"/>
          <c:tx>
            <c:strRef>
              <c:f>Sheet9!$B$3:$B$4</c:f>
              <c:strCache>
                <c:ptCount val="1"/>
                <c:pt idx="0">
                  <c:v>Female</c:v>
                </c:pt>
              </c:strCache>
            </c:strRef>
          </c:tx>
          <c:spPr>
            <a:solidFill>
              <a:schemeClr val="accent1"/>
            </a:solidFill>
            <a:ln>
              <a:noFill/>
            </a:ln>
            <a:effectLst/>
          </c:spPr>
          <c:invertIfNegative val="0"/>
          <c:cat>
            <c:strRef>
              <c:f>Sheet9!$A$5:$A$10</c:f>
              <c:strCache>
                <c:ptCount val="5"/>
                <c:pt idx="0">
                  <c:v>1</c:v>
                </c:pt>
                <c:pt idx="1">
                  <c:v>2</c:v>
                </c:pt>
                <c:pt idx="2">
                  <c:v>3</c:v>
                </c:pt>
                <c:pt idx="3">
                  <c:v>4</c:v>
                </c:pt>
                <c:pt idx="4">
                  <c:v>5</c:v>
                </c:pt>
              </c:strCache>
            </c:strRef>
          </c:cat>
          <c:val>
            <c:numRef>
              <c:f>Sheet9!$B$5:$B$10</c:f>
              <c:numCache>
                <c:formatCode>General</c:formatCode>
                <c:ptCount val="5"/>
                <c:pt idx="0">
                  <c:v>15</c:v>
                </c:pt>
                <c:pt idx="1">
                  <c:v>62</c:v>
                </c:pt>
                <c:pt idx="2">
                  <c:v>247</c:v>
                </c:pt>
                <c:pt idx="3">
                  <c:v>546</c:v>
                </c:pt>
                <c:pt idx="4">
                  <c:v>361</c:v>
                </c:pt>
              </c:numCache>
            </c:numRef>
          </c:val>
          <c:extLst>
            <c:ext xmlns:c16="http://schemas.microsoft.com/office/drawing/2014/chart" uri="{C3380CC4-5D6E-409C-BE32-E72D297353CC}">
              <c16:uniqueId val="{00000000-FA68-4930-8B91-B22A704A2955}"/>
            </c:ext>
          </c:extLst>
        </c:ser>
        <c:ser>
          <c:idx val="1"/>
          <c:order val="1"/>
          <c:tx>
            <c:strRef>
              <c:f>Sheet9!$C$3:$C$4</c:f>
              <c:strCache>
                <c:ptCount val="1"/>
                <c:pt idx="0">
                  <c:v>Male</c:v>
                </c:pt>
              </c:strCache>
            </c:strRef>
          </c:tx>
          <c:spPr>
            <a:solidFill>
              <a:schemeClr val="accent2"/>
            </a:solidFill>
            <a:ln>
              <a:noFill/>
            </a:ln>
            <a:effectLst/>
          </c:spPr>
          <c:invertIfNegative val="0"/>
          <c:cat>
            <c:strRef>
              <c:f>Sheet9!$A$5:$A$10</c:f>
              <c:strCache>
                <c:ptCount val="5"/>
                <c:pt idx="0">
                  <c:v>1</c:v>
                </c:pt>
                <c:pt idx="1">
                  <c:v>2</c:v>
                </c:pt>
                <c:pt idx="2">
                  <c:v>3</c:v>
                </c:pt>
                <c:pt idx="3">
                  <c:v>4</c:v>
                </c:pt>
                <c:pt idx="4">
                  <c:v>5</c:v>
                </c:pt>
              </c:strCache>
            </c:strRef>
          </c:cat>
          <c:val>
            <c:numRef>
              <c:f>Sheet9!$C$5:$C$10</c:f>
              <c:numCache>
                <c:formatCode>General</c:formatCode>
                <c:ptCount val="5"/>
                <c:pt idx="0">
                  <c:v>4</c:v>
                </c:pt>
                <c:pt idx="1">
                  <c:v>55</c:v>
                </c:pt>
                <c:pt idx="2">
                  <c:v>190</c:v>
                </c:pt>
                <c:pt idx="3">
                  <c:v>413</c:v>
                </c:pt>
                <c:pt idx="4">
                  <c:v>297</c:v>
                </c:pt>
              </c:numCache>
            </c:numRef>
          </c:val>
          <c:extLst>
            <c:ext xmlns:c16="http://schemas.microsoft.com/office/drawing/2014/chart" uri="{C3380CC4-5D6E-409C-BE32-E72D297353CC}">
              <c16:uniqueId val="{00000001-FA68-4930-8B91-B22A704A2955}"/>
            </c:ext>
          </c:extLst>
        </c:ser>
        <c:ser>
          <c:idx val="2"/>
          <c:order val="2"/>
          <c:tx>
            <c:strRef>
              <c:f>Sheet9!$D$3:$D$4</c:f>
              <c:strCache>
                <c:ptCount val="1"/>
                <c:pt idx="0">
                  <c:v>Other</c:v>
                </c:pt>
              </c:strCache>
            </c:strRef>
          </c:tx>
          <c:spPr>
            <a:solidFill>
              <a:schemeClr val="accent3"/>
            </a:solidFill>
            <a:ln>
              <a:noFill/>
            </a:ln>
            <a:effectLst/>
          </c:spPr>
          <c:invertIfNegative val="0"/>
          <c:cat>
            <c:strRef>
              <c:f>Sheet9!$A$5:$A$10</c:f>
              <c:strCache>
                <c:ptCount val="5"/>
                <c:pt idx="0">
                  <c:v>1</c:v>
                </c:pt>
                <c:pt idx="1">
                  <c:v>2</c:v>
                </c:pt>
                <c:pt idx="2">
                  <c:v>3</c:v>
                </c:pt>
                <c:pt idx="3">
                  <c:v>4</c:v>
                </c:pt>
                <c:pt idx="4">
                  <c:v>5</c:v>
                </c:pt>
              </c:strCache>
            </c:strRef>
          </c:cat>
          <c:val>
            <c:numRef>
              <c:f>Sheet9!$D$5:$D$10</c:f>
              <c:numCache>
                <c:formatCode>General</c:formatCode>
                <c:ptCount val="5"/>
                <c:pt idx="0">
                  <c:v>1</c:v>
                </c:pt>
                <c:pt idx="1">
                  <c:v>5</c:v>
                </c:pt>
                <c:pt idx="2">
                  <c:v>21</c:v>
                </c:pt>
                <c:pt idx="3">
                  <c:v>28</c:v>
                </c:pt>
                <c:pt idx="4">
                  <c:v>20</c:v>
                </c:pt>
              </c:numCache>
            </c:numRef>
          </c:val>
          <c:extLst>
            <c:ext xmlns:c16="http://schemas.microsoft.com/office/drawing/2014/chart" uri="{C3380CC4-5D6E-409C-BE32-E72D297353CC}">
              <c16:uniqueId val="{00000002-FA68-4930-8B91-B22A704A2955}"/>
            </c:ext>
          </c:extLst>
        </c:ser>
        <c:ser>
          <c:idx val="3"/>
          <c:order val="3"/>
          <c:tx>
            <c:strRef>
              <c:f>Sheet9!$E$3:$E$4</c:f>
              <c:strCache>
                <c:ptCount val="1"/>
                <c:pt idx="0">
                  <c:v>Unknown</c:v>
                </c:pt>
              </c:strCache>
            </c:strRef>
          </c:tx>
          <c:spPr>
            <a:solidFill>
              <a:schemeClr val="accent4"/>
            </a:solidFill>
            <a:ln>
              <a:noFill/>
            </a:ln>
            <a:effectLst/>
          </c:spPr>
          <c:invertIfNegative val="0"/>
          <c:cat>
            <c:strRef>
              <c:f>Sheet9!$A$5:$A$10</c:f>
              <c:strCache>
                <c:ptCount val="5"/>
                <c:pt idx="0">
                  <c:v>1</c:v>
                </c:pt>
                <c:pt idx="1">
                  <c:v>2</c:v>
                </c:pt>
                <c:pt idx="2">
                  <c:v>3</c:v>
                </c:pt>
                <c:pt idx="3">
                  <c:v>4</c:v>
                </c:pt>
                <c:pt idx="4">
                  <c:v>5</c:v>
                </c:pt>
              </c:strCache>
            </c:strRef>
          </c:cat>
          <c:val>
            <c:numRef>
              <c:f>Sheet9!$E$5:$E$10</c:f>
              <c:numCache>
                <c:formatCode>General</c:formatCode>
                <c:ptCount val="5"/>
                <c:pt idx="0">
                  <c:v>1</c:v>
                </c:pt>
                <c:pt idx="1">
                  <c:v>5</c:v>
                </c:pt>
                <c:pt idx="2">
                  <c:v>37</c:v>
                </c:pt>
                <c:pt idx="3">
                  <c:v>49</c:v>
                </c:pt>
                <c:pt idx="4">
                  <c:v>43</c:v>
                </c:pt>
              </c:numCache>
            </c:numRef>
          </c:val>
          <c:extLst>
            <c:ext xmlns:c16="http://schemas.microsoft.com/office/drawing/2014/chart" uri="{C3380CC4-5D6E-409C-BE32-E72D297353CC}">
              <c16:uniqueId val="{00000003-FA68-4930-8B91-B22A704A2955}"/>
            </c:ext>
          </c:extLst>
        </c:ser>
        <c:dLbls>
          <c:showLegendKey val="0"/>
          <c:showVal val="0"/>
          <c:showCatName val="0"/>
          <c:showSerName val="0"/>
          <c:showPercent val="0"/>
          <c:showBubbleSize val="0"/>
        </c:dLbls>
        <c:gapWidth val="219"/>
        <c:overlap val="-27"/>
        <c:axId val="1569886000"/>
        <c:axId val="1738375312"/>
      </c:barChart>
      <c:catAx>
        <c:axId val="15698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75312"/>
        <c:crosses val="autoZero"/>
        <c:auto val="1"/>
        <c:lblAlgn val="ctr"/>
        <c:lblOffset val="100"/>
        <c:noMultiLvlLbl val="0"/>
      </c:catAx>
      <c:valAx>
        <c:axId val="173837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extLst>
        <cx:ext uri="ext:featex">
          <cx:featureExtension feature="mp" drop="onModelChange">
            <cx:offset top="1.4500000476837158" left="0.59166663885116577"/>
          </cx:featureExtension>
        </cx:ext>
      </cx:extLst>
    </cx:title>
    <cx:plotArea>
      <cx:plotAreaRegion>
        <cx:series layoutId="regionMap" uniqueId="{00000000-856A-4DA7-AA11-35D28CEB13D9}">
          <cx:tx>
            <cx:txData>
              <cx:f>_xlchart.v5.2</cx:f>
              <cx:v>Sum of Quantity</cx:v>
            </cx:txData>
          </cx:tx>
          <cx:dataId val="0"/>
          <cx:layoutPr>
            <cx:geography cultureLanguage="en-US" cultureRegion="IN" attribution="Powered by Bing">
              <cx:geoCache provider="{E9337A44-BEBE-4D9F-B70C-5C5E7DAFC167}">
                <cx:binary>3H1rc9s40u5fSeXzoYcACILY2tmqJSnJ8kW2YyeZ5AtLsRUSJMEbwOuvf1uxk7VuWbpqVKdWmpma
SsSGmnjQje5Gd+Ofj90/HtPVsnrXyTRT/3js/nwfaV38448/1GO0kkt1JsVjlav8uz57zOUf+ffv
4nH1x1O1bEUW/oFNZP3xGC0rvere/+ufMFq4yq/yx6UWeXZXr6r+w0rVqVa/+W7vV++WT1JkvlC6
Eo8a/fneW6bie15lYvl+8zv85/vrZSWyd15eZ7p//26VaaH7h75Y/fl+YxT8/t0f2z+2w9i7FHjX
9RMQE3bGmUUZNQn/8XHev0vzLHz52kAYn1GCHJtx+Ob5ZxdLCZSjGfrBzvLpqVopBa/14//b5Bvv
ABPx7/82AY/riVjPfAgg/Pn+Yyb06undvV7qlXr/Tqj8x0xVvZev3/Lj/Y9p+WMTu3/9c+svYKK2
/uYVvNuz+t++2kTwv6D77xTm9Gl5FHwd03KwY7/gy3bxxQxbzIaV8xreN3C0H+DtAUZAvE1yYiDP
0lV2DBHmZxSbFHFs72KLuIMYoVvgjuZkP7Sb5COA3SQ4MVjdWuvVESQXYEWYWCa1DmhmdEapZSOE
0abojmZoP7qb5CPQ3SQ4MXT/nRYiOwa8zpnNCbXRIXgRP2PwoZRZm/CO52g/vlv0IwDeojgxhP1V
+m6Rg3X398uwhc4YtRjDyHmW4Z3d1zrDpkVg993S0G9iaj/Ou0OMgHqX6MTQ/rdcPuXV3w81cc4I
WFEmdkBcNy1oEwQZY05Mbq4/W9p6PEP7Yd6iH4HxFsWJAXy/zN65qypbVk8iy48AtHWGTAdcIkJ+
wGmSLbwRO8PcMjnjm3r77YztB/zAOCOAP0B5YgsAvOhls6qW6gjYO2eI2xhhxp6xB629Leu2Y3Iw
28AWf+1OvYmp/bjvDjEC8l2iU0M7T2t1DMeZw84MQIKBdgBqfGaCHrC5RbegHs3RAZw36ceAvElx
YgivA01FfhSM2ZnlWJhRBz9jDFvzhjiDDc5tizmYmc/22ybSb+FsP9Y7I4xAe4fmxPD2cojsrSVa
6WPItXNmrq1xQtgBtxqfIWI5lKGtgOdb+dqP+N5RRqC+l+7EkJ+k7/y8Avv8KDs3w9ym+CUMysE4
2xB1DFY65wiAt3/ogi0r/U2s7Ud+d4gRsO8SnRjmUzgWOIqZbp8xgmxKEXqW823A1/EVh8I/aGv/
Hs/Rfpy36EeAvEVxYgif1/Jbnj7pv1+oLZBZx0aWtRv5BifNRsSEg499G/dbWNoP8s4II2DeoTkx
oOeyWFVimf79QBMMyhk71CLo2VDb8bnpGQVZpwgiMOvPlvZ+C2f78d4ZYQTeOzSnhnfWH2Onts8c
E8OJFns599hR3GsnnNu242wZaPOR/BxA+DX1GHRfP39iyF5C/OwIUkzPCPtxoPUspGsp3bDBYEte
2+aIYIiTv46ejOVnP7Ib1COQ3Xj+xJB9qCFWII9yoAWZJA4EPi3rOcy9gy5Y2MTBCDkYtPdrdN/C
036Ed0YYgfIOzYkhfQm5S8cIgdpnIJ6QMWLRg3a1Dd/BqfS2EI9laD/Gm+8zAuBNghND92qZHOG8
koACBhsLol0vZxs78W18xhFFtsO24ttj+dmP7Qb1CGg3nj85ZJVaHWH3BWfJgmQDh7/EOnfOrUA/
2/C1Bbl+m/r5ajmWo0PobtCPwneD4sQQvs6PEvBwzjAkizj2i8fLt3MNwLrC2HE4SPcmvmP52Y/u
BvUIbDeePzFkr3L17t9ZuEpXx9h5rTOTYkycnzvvdqoughVgEchCAAW+xwl+I3P70d43yAjQ95Gd
GPbXyyc4dD6C12TDGRSGFE7I0f4J64bXBHrbtOHEwkLbcj2ao/1Yb73RCJi3KE4MYUifWJ9IVfVw
HJSZhSwT2QePpSC3yDFNvmV5vY2r/UjvGWME2nuoTgzx61X2lD8eJ42In6F1gIuxl5DmdjAEE0hA
YDYh6438tbv8Jqb24707xAi4d4n+B9D+PYsbb70u0fj3z6neU1rz9soaDOnZNkcH4iFgj9mIYYZA
cf/4/Pzt5/oayNz5VQz0DP8+nvbj+5p24x2fX/H3k/I/Vzxzmy4fV8dJ6QRreX0m/ILg9qkDRmcQ
pYYzCfwM4Nb+O56v/Shu0e8BcuOvoEhsi+LEcL5eVY9Q5OUdoQaOmDa3f7lO24Y1WFiWgzjY1dZP
C2xTIY/laz/OW++1AeqBWrjNmTg1nHPYdP9+mCEZH0LTHEKTLybWTrmUeUYt0NlwALGpiq/HMnQA
3w3yMfBuEJwYul/y9BinhlBOw+DEEMqltg6VQEnDFwxBPsAmqmMZ2Q/qBvUITDeePzFIIaSjV9Wq
//tlltgAKwBLzJeE6z1bsE1tyybb9atv4Wk/wjsjjEB5h+bEkF4si2OEOCBwxeFICc6MnkMcOyjj
M0jkAdl2tsqkxvKzH+EN6hHobjx/asiumuVRCtAh6mxj5hDzJXy1gy0Y0QiS6K3twMZiNEcH0N2k
H4PvJsWJIfwJbNb6KBFKKGJ0oBTCPJRSvT554OAm2eZWxs4bWNqP8fYAI0DeJjkxlG+qJRxAHGEn
JpCCB66wYx8oR4eyN4dCjaO9nXw3nqP9GG/Rj4B4i+LEEL6FBJ6jFLdBsQuxGaTIv8Sjtg8QwQ2G
02FwoMhWxvR4jvYjvEU/AuEtihND+IOA+kUlno4jxtwxKSEvKXg7WVogxgSqGyF7Zyua9Sam9uO8
O8QIqHeJTgzt++VjBd1/Mn0ct5gy6DNhQVHqj8+OTK+DIut/IC9z/dnykd/G237U94wxAvY9VCeH
+7pQHRpXHQN3SKKmeN0/5kCWHkRFLBObUDyxe5z4Bq4OIb7zZqMQ36E6NcTzdHm01B+wzdZxkp9S
vJkiALXKFneouYP2aI4OIL1JPwblTYpTQxiaT/hiFR5DpKEGBkGjPqiD2YpwwpaNbOJAR4oXYd+M
c8Ix/XieDsC8M8QYpHeIThDsKbhbj0I95j/nfM8hLcSs3tqTkUGiB4MCl1/nitvibEFXSuqQLRtt
DfUvjsb4gIfh3h1mJOS7hCcI+0W+LOtj9eMEIbcwAPzjsydchjlk33P+HE/bMdiyd29g7jD+24OM
RH+b7MSwf1hFS7kcI1lvE3lIzobSRRvyOw9UK0MbVmgqA9Yael4XW7CP52s/4lv0I8DeojgxnNeK
9KoW6t3NN6GKY+zmFGKm2IbAN2j69QcA3dTxkI0PPjp0d9yj49/I2n7MD73jCPAPkZ7gKriGjsLH
wP9H6xnGIJZ2wDEHgccOpAhaW6K+nvvRTB1GfnOIkZhvEp0e2pDe6y6rb8sjnZLAnr5upH1Axa/z
AbkDSh56Sv34/DQpn/MBAfe3sXcQ+z3DjMN/D+FJrgEvPc4KgNAqVGdAbd2LXb/tyEFQBmx+BGeh
WwH2Z+xHs/U75DcHGY37JtmpoR4tj9JrCqw66N4Lrjk51C4QQ0k0dJMES2BL2EdzdADrTfoxMG9S
nBrCYlUdRalDk27bhLJ25zl8vq+oEr4EtQ/Btxcz73Xq6P1ovg7gvEk/BudNilPDed2L/Rip4FCt
QTCGzp8vm/ce1W1DvB388m1JHs3RAYQ36ccgvElxaggLlYg+r4/gg0OiKIGgGv55VQY4XpsuGT6z
oWM7hWq7LW39Bp4OoLw9whict2lODWkokz5GrAU6dVuE25BweCin9Eek3bagpHIL59EcHUB5k34M
xpsUp4awXmZCpcv6GNXSDLoZmHD1iX2olQXkHZrremm2lZQGlwi9gasDSO+OMQbtXaoTQ/wBLrGC
i6uOoLyhFSD0pYHQ+YvzvJPoAJ1LIIEYnOuteMobWNqP9fYAI4DeJjk1lGtwoI+RvAS9h4i5joAf
LqnEfO1C060d+mE0Rwcw3qQfA/EmxYkh/KX+doRTEGg/BMWw0MURepT8+Oy0H4Irj6D1kAM+9ebO
PJaf/ehuUI/AduP5/x/IHr6l7tddf/5SLyc/bgl8dVHd77/9MTlwt+EW6Uvx+Z6D7Z8YzJ/+fE8h
jv3qnHs9xkbV+uuS5GcP+D9UKwi//PneQAi6tq7bm5hwHQ6F1rwwYLt6/gpbkK8ELjTs6Q6UVK+D
4hnc2RP9+d6C3Ba0bntjruuo4aYd2M5VXq+/grahkOnoQAN3CLHAPs/Rr/sbb/O0D/Ps14S8/Pld
VsvbXGRa/fkewW8Uz4/9YNWkHE7foPeVDWk2BE5oIUhXPC4/rNuawdP/Tw8kL8q67hZZS/ikaYOo
cHMSs8RLWNvc2QbtL+KuyZKJaSb6i86t5mNiqa50Fc/Kz69mbx83sKFtcwOXjEArNihKhQv+1tva
a26srC8SHtXNApcZWoTJkAVuzXI78rpG59xtWqv+wprCEG4lHV16ZVwloRsMilke1D1nT1xr8wbG
iGofpyn6OFDDQbPepsEK9Qbqpr/nGIP1vMMxVHNBBypOGbTmNbc4FiwCbHu9IB0NQ9/uhvRjA2lL
ZKpZn1O36TsU+4IFjjswuxdun5hkJpuqR37V5Pop6pRCnjAK6iu4nLNxtYzMxmUVTcJJmMfRbVLz
C6l4pHzQMPyTisrLJG1pNxHKsK9FFTVy9vu32oUBKsBN6E4LdzhBFs6Pl361KFhvhK1RpGqR6YB/
ykMHYddKMCyNIqu727ar+H0RoPSv3//seq29XotQiwwN6hmBGyrg5k5M1my9+llqdqFVqDBbZM6A
FiiJ6kWmKk84QfTp978E4rPzSxxSBRk0BgPF7GytsyKz+qGsonzhFKa1LNu8SmeBdnrsJkU0Mcs6
HTxi9k7uxYS28r8tmvWi2HxRWCjQDtaCK1Wgo/P2z0PKm4jCTIoFKxO6lHFNl0m65oEOUk3sKs/d
3gToZ21attgtk5ytdMrVvOW9ddXZpDI90sZ54sUskx9JVWDiR07frwqjKXzTGCTzKM+t6pwSe6jd
38/eupn4Nv9srTbgUAdu2YQK1U2gTLumGaWBcY3qQC5FpVXoIiPRmeWSvs/CizYSybfQ4cVVN5TR
1M6tTngYNey7ZsOQe30UMs/K42YlKsKeGlpE7OL3TFp0B2RiEVhEa9sZjhwpg+319XKyK0eYVaTJ
dWyVRcAdX/NomHW6I3yqm7r2qq407xrZ09qNooh5FcpmClfFLLUK7CVpKT8UKZWdy9I2/NzGMp/3
Smu3oGXx0VaJ4wdlFnh1HsfCFZrErRvEKlu0haFuSmMgkzBEPHaNIcikh5tInlNbpx9wHN6GfUY6
N61ZudBB+aCxNIhvNxgmUvQYdINVD4Nrtk58lUbU+RKYtXUR2Q66GsKu4V5rRpb0YNGJueFUvXTb
3hl81FLDH+LusVClvq9Ng0VuKzWbBqqs51aA8UMZoTaZBcxAwh2iJPgGRztV44qsNL7Wkkm/KBSe
J3lWzFHJ0yfRFDbIPZHJveBBx9ymtMKLKqhqr4d5mCEL85uyld3EaqtyilCHmkkKN1GEXtOGTuk1
OAomUpHKrwt+EwVGaPoI5focthrcepkZ266jWfpXJ83oEle8uKdE01nNYwNPlS2HpWPn1USZXTxM
m8QJp0bXmUus0va7CouCegPWZu1mIW7CaafjHISjbSd92NTOtMqDyE81kecZPOrC1ShVDhMtG+bG
Ko4NjwUtc1lOu8G1dBp4RBuZnFV2MgmtujfvWoIsuO+4MlM3hpWkp0S3XM06wrorOxmGNLir21JL
6fYi7bPqKQoijIcvqjU6JiOXV6DK80fcy1iTCu6drOvCXOhEy6S74KIcZg2vdTCXlRCFG+M0vzeZ
QeZxT0jt1YBB4PalyTuASzqOnwUB7Ic6TdpyYidtaHpVqlFwE5WmzfLzpGdt5PddyvWVrTSBFdUG
OVKtV8NeOLWNKA5uGhAdO/RKp3BgwZFEyWmWioq7aQmbVzDpGmF7RgCnvtTtAzOz4GKTQEov4nUb
TNuUpXKiArAKpjQL5eA5AwWNmeHEqj0ZVUbqNqoP1a0ShpSTPBTOd6NumDB9M8d6JiyndhbUCMLg
IiNMMxp7WafKoT9XEKisokkRRkxOAtUM5ZRXKhPTPrVlf24qJQuP4j4VHuton84qUQrDA1jxZ6OQ
A/KhTCSRPvxnGjdpbBoKpjzLPsdScjknFdfpJIm0/WGoNSHT2MgxuozaSLHMZRGO9CyomiK7h82Y
XMThgJNpXQAHk1yn4TBxUDdwz4n7or2WTg9L2wBRqfwAofqiIpSmfhiQsPZZ1gCcgimwT7IhJsMq
TSCC5zvAgPRJL6NyjkxhnYeCJbaHk6QkvshF4A91kFDXaKuC38ZBG1seEWU8uLKIB+PSDFJrioog
pMAuZ8UE9dGQzyOB2nCScCtq3fVzLuKCZ7B8QlJ6XSuMwdWdML5W0AG8N1wBcoQXaMjEIFynsQzy
0Kctrhd2wfvcz3ipr2mdwZYUKpYAAZcEZisQEcq+DCjNoouyl2k3VS0dxCXSoX6wYkyXtAtk4DoI
Fu+0zjpGJsoeBDBfo1j6KSkT5TltMBFIlF/StgXLIg7j5l5Ru/1WVBE5b1gbBhMnoSZ2MyeAcWia
x900qxq0GLqCWHdKU/SAtAFPtLahHE+jnnWTBstYnFcdxu08Y6HCN8Jg/FNmluvFGcelmrFUReq2
6y3teGbZAjZRmwFjuQKlewk7GP9EHBNWtwQtWfnQQKXL51rxAN/GVZ0kH7CTcWveWXFbX+tOr43P
qO9uaWLY3SRvJfx0ng9D43ZY6mFmJmz98mvWW9BPwFch0cKiGbxFXVKYqijJk8HjSQOiU6RhIu6y
ioHIVzVYBSF8BzoV6yy6KZHVV5lLisgEuNuqq6+lERXKFWZddtMOug2QSd+UeK00QJg8eCNQIB1H
aztZZ/JTABfJXDiNEI7rRDSBddGH9rLNCLDRVXH/gejOVJchmLnxZV5kSXzvwG4xU5mJFiUPyy9Q
fmGXbmRFAl/kTsjryyDKw8bvK1a2YOD2ZFZgmFbPZGX/mKQJve1qZebnpdk3yefWlqE6l4Ehv/cD
X+sQUaaRD36AQyYC95GaFrbknw0zkFPZFmHpMgvUXF+10QeRa3XJZRJTn+IKh6D24JpSt4kw/1TF
RhNOUpyBmAxGQPjcynJUriQo5P4CbpMG2WjXGnsSUwNmtGuGZgKbTFteoqrGthfwVDew05LGBNO7
jL9WvOEPRg9m+sXAdYWetMp65UqEWDMXLYahOomiwbPa0A7nBcDSekbC7emQN42+7nqW3seNKl2H
qXNLdg09H1obwElMpIZZkSZ5fp3ZnXVlaNPKJ1GZyeYy7Nsi8hyqZPQAloh6MnkGagRUp2rcJFKt
cnnbOCXsAn15n4YlEn+hfCBO4w5ggfUfC00MDoOpoJpEzEjCCyMo2m9RaBqNlzJlJ3PBTXTXKSMY
ZlVdKjERQw2LVGAdk9suSQe6kHaRpm5ZNKZ9baHI6rwerBs1aaMCUGudTIRuNTAJukOpdII60lV+
k2Knmg1OCas/sbqQ+X3Qm8oLCmWXn1vao4c4qmCtwU7HP8Fal+o24xkCBYsLHk8dGdmt29VfsFO3
DnKTpGEfKc7K1m9pqK1rK0id5kMZKF7B5g4relIIAmiC49B3V4LoJL9iVRGRW9yZqT0PupzDe3Wd
EV4nlVG0vlQB6Aywxmp9naYB8F/xJJyqyEkiv+1Mc96XFsh9b9tMuFYQsesfVulL7OL22ch/dsAf
86KvRBjprT/+6yGX8O8/1zS/nvkRpvjPn67FY5Wr/Lv+7VOzVb5Oo1LbD22MDL/+wt06fLHxh51Q
yoFgyYeVqlN94MvDkZRfbS3WkQZogkEo3C34yojfCac8Xxn0OgDzH6pf4RS4khZSiqFpJIN7F0wL
fMRf4RQo5QX3EVtQkw9PrCMtL+EUwiDEBg4ANEGC3JXNcAo949AnC0GUHVwyqDey3hJOgZ7xW64R
lLLYEFOBiB6inNJ1McNrpyORKWwZOmCLoFMXoS6b7Fq3uLe9WDZFATurqIeZ0yoFdpIMu085j8ze
z3lWRJc6jr50RN2DadD7kcoSr9X1rGxDPxlC4SIzw36OUtvNefwNZlu4JKNi0hsK9AFILVzzqT07
Nb7APvQhk6Bv6xwld5oV0X2SiHPedm7GgtpLwSgKTWEskiBzWrdsykkljfBLX+joNggiYd9Gac9u
aeaoCDRcMBDXhiWS+zSQZvZgg306DSoetRPVoUCDs6Mi8am2pALbP2k/J5hHxFdJfi6iOO7PsVld
gyFz0db0Aw2t3g9Y9skc0ofaEsTNo+IRO0K6dlR/g11TeJWOJ5BT+C1aK/TKsBZ2jT/bXfepjgQF
6964MhrDN6SVuaFQIKlFgXynb5GrMmZNkBV9xgFxPGknX3FI7xOnvYljCLH0hniCti0PsrZWphWL
iZIwKdTRd4wkhQuuVXnewvguDovka09gB0pacW4OvPXLMipdmToPZYrwNM+SzM3AWXC7GJ9HGqy8
pql82Yo5iUjsUhkxF7bywVVmkk1wXILdafYXpMB3Aa6lN5AIDBwLn+dJjzzsJK3H+w7P+waB9Veb
T2bOfadWEgxxGkwSpmYy48swyi/hHPhSEb4OjRiGSwZ+z4K08SBENO0C44nyYZqa3bwIikVYgffW
BJVfVIN9LjMduSoovuvcqFxbtIlbG/KxjXjnN332Fyxp7WLesHPb0skUltedhUrtaidfaBobrjUE
t+BZ3NEwF24YoQ9BYRhenYKfaXYV9WLaKA/Wmx/R/K86xpWbh/pCA4Ja1VNaRmLWUWtwbbPMJ0Nm
zWXT33Ql/YyUXnAtHmINUQ1hqk8yjD6sDQ2/MOsZCm1jHtuawHZffehZ8GC25t1Q1iAiSBR+D8av
y4XofVQFt3UwnPdpYMxJZzxWpRH5plUks54GJuySPPXaWko/pGrmMNPywa4aLvKC3cRgGk9zh7Ze
UWfEk02q3dJqr2iCntJUXIjaSX2ocb+246ICs4tdQk4Hmpkc9so+LD0EAuBbKF5WZtFOe65veGX9
1RiR6YGoN27cS9uLavJd9vUAkab8Qz0Unq7Z+QAz4zK2dkGzfPB00nzE7ZCdGxasziAsWlelYpX2
eJjVjP1FW3oPbYe6eZMnwksrPIeEfOITx7mKGgO7tlWCeSsta9qW8Y0Ibd82kg8ybRZhBGu7jRhy
2ziZCMlvcZiVUzvVatYWLfHLquvdMrMfWlQ2nlmZ3wNsfTVJ+gj6fV62xHRFqKkbGHhlKeOTihn3
pJSfZKvxBPP6vu81mglbfsl765IaeU8bFxwlZV0wq7PvSOwUDPxps4coUPmNtJmfY1qClLPCrWl5
bRudngxJPqPN8K0i+EvpcHLOzaxzC85uh7rJfEdHjm9Vtg2vSjKXR/1j0AdqbjJ9H2U69SCul55D
DK2H8HESg64lXwvbutcS7P4WdvspRK5aHyz62I+LIvMyYS6ausgnCSWrZui5n1H7Oo5x4zdBzs6T
JONeY1ipy8Ejd6XZEre12kejAUlGyiLnZtDSheioANe37HzHwJFPcPmhzWx10TtMTxDYnInIOsBJ
THVIel/QuPf7OCquJWvnvQy+yqzrfGlYcgJB8tCFUFXqFVX8aLOMuUUQDxOaBdPQIv25nVXlPC+s
aRJh4UfMTqeOM0gX9OEwy+Lya+VQcJqMWdgGM2g/Gd1FBnj1NBfc7VVrulxLPu2MLHdt2gd3doaL
KSvRHFzGq5iJcKpl7MxU2YR+C6cRXtD0/UVU109JacbTCCzNC1yQ2KPFUE+SLszOoywbPg6tBGza
3phSJ8xdIwNcQ/DMXKqbObgalQvX6QxeSsHaTflFwIdLQwwSfK2imgbJcAcmog/u/71jMPtqUCU4
HPUQuXXT3xZ19JDhoYcNEaXTglTCrSOjgiitfrRL2bgSboOYdY4GgxWF2nPw0LkojW61wLdZMJh+
kotmVhTDJdHBVZASPymH26ZSyYTEpenjoLXBaa8WnMaPTia/pSroYA3xwLXhLMRPDXqRE6efBHbY
eOFQpq5ptp9QnSzzxLhNK3GfhEburcvUJ3GFbLeyilU6sO+hNK2pJpbyK2HBkAJnfpuaXwoIkbhN
LRYBr/MpNBxq/LasAi8PksvMkeZ53MXhpzJKfdEGX2ww0l0MogsRmO+V1F8oMVwa6UXRwFK2tHwM
KOYTcP4TcNnTT3XuCDcXonGxYdwNZmH6RiquUUEDN8+Ty7QCS8SCPZUaDSgwhFado85ZHVw5QS9n
pugv0iDjfpkYbkyzz7KvFl2GM9fuIeBVQWwCAL0oFbqkqXwyCud72xm1a7f5HAKK54GKV47RTFWd
65mCYIUq4Ns2Nz6ZsQmRzEsZR+DpsnmhkiWv42/g4XhFY5huXLF5LYL1qnFCT9nVxaDaaQqhEldI
OP6JC3XZDbCeRYCrKcbWipg5cTFl9yIO4WFQ4I1EV6JKkWuZeehBHF7MwHL7ChbYXHT5tARLxyXa
vhhoLr26EDd26bgBbz8jAoMXXQ6Rs/gyae1oRqR+tEL+OWRB5hWyXJhM3q6NGERgw+NZOKMRkn7v
kEWXiI9V20ZuoUzhGUV5Wwh+1eOA+8QuP9RG1bospsgbLDmr827wGxxPbNRKOHgrHFdJGU5FAKKT
DQSURdXfy6aEV3OyZhKB3ek6qZgYGVlbD9Wckeii7ePvEaJiGrbOTY/iWT7MFE987MyqPvNRd+UY
yUOUNolrWBA2Nh06i+OmcHsGhgwZvhGnndpt+M2xxZWF6wpMDjMCsMplnuN1LKMFr7swm+oSxOch
7DuIbGnnEyqY29k5OIHVxDknYXqO83Te6MQPHFLcZXYle8/MhN1OhEWR8Tlq8tz0OgzHOhdJB69M
XAHubDPN08bo7+CY7mtmUmH4VpCHbjiwVkDALLnIWzgS6xKIK5oGuJg8rN0qN6YGiws/S4x2Kqzc
t2RS+0GT/xU4aJhkTlPC6VuIICwQwxFJdt9aNsSriPUdDg0/W4JRV4LhZQRCT6E/0Dxi1rLIuttO
QNAzYkXiRUJLOAYFCUkSq3Rp2yDX6PMOtpMe7EITNjYFWxrgt8YObPOa927Io6uyQpabFpbfabZo
tLjhNbtCcE7oZipeIt77iltXaOjBusmLb7C39C4YEV6SOR+VENaFrs3VAPHV2RCbtts3zrnV1Lel
PURg5MEZBrgSLtg1rW8H2VPVynNiR4ZHzXyYlsq+sko4ZEga8P9Y41GZt+egd694S2asp7DZUaXO
6wYkOsbwg7SKvMRKlatQA+bNYLtDEUMcB6xdjpKvSSk8K7pJigQ0QO9CGGVOK0Vc7jQLQ2WlmxX6
RtL4CdzhxA1R77W9WOShuaC8n6ZZs7Dwja0lHIOUflUZ4UVj5p8hcD3Xkfiimf5Y8Lxy48GcQPig
s9l9FyoP7N5FX+KvokDnXBmgGWU4H3o2zOM6/QoMfoyEYfsMbMFJpAtxCVrhqyXz5rMcmtDNy/iy
g9Carxo4DujlcN02PfZKG/0FQY1lFyd3bZstk8KpvEZpWAn8S0pzCCJEnyWcXj2fmP3dbv//oEMP
R4O/+gDsOPSv7/fe49YD7U+3HqqEKAGPDlx0BEnp/8femTXXbStb+BcxRYIgCTweDnvWbEuWX1iS
LQEcQYIESfDX30U7Tpyck1OVh/tw66aSSiVRbVnDRqN7rW81N0f0t7Ge/EIB0IAIwPMxIzCuv4/1
eGimC4Kd4wkyEUCKDXr8QUlEWCzBwG9gGodNGeExIj/0iz+INCBDfv3vnykJKAF/HuujzSXGtmwc
Uvy1oRo/j/W8iVbeTsF0U08F/KxE98o91YtHT+0K+y8pw+ajLQWJo8W5sBZ2bBmgHZnLMJUtrjNv
LD8sYjxXbHmY3OVic6+MO4mKAKkLmmWxwgoaH+fGXkcNDlgRxn6dq7hnw023LKewM2GyNP2xWOs5
boYBV5PgcR7xZa99/91n6HbmoW9jt6hsAl2MZLpy+nhldGfKkiW0hkXGB/lsQ1x7Q01txkfbpK7u
PtDQmJgahySADhK/W93EzmNMBUYA3eZPNffSkYQ2QbeQBsX8GhoUg7xvUjy89kuPZjGZwuJTCNk5
BiyBuYtBgy6iGObKp1BQzFndmuSzv5NMY2AdmgMJpyCdFDsMC2YxSycMVNPyalUOBWC5cRWqTwDg
pHB5kTS02lfVcmRwzXfeMmugEw6uHdF9FS4N0sVrP3UqKGNfTn6am/EtzMl6PVT2pUCnczZBAXc3
IE0sRYirk3n3ZIh0SuENJsWmIqth4ft5rs5e0E/PjE/ajw1YnR08alzUUZHRPFK72vouOtcFPpCU
Lmr9qmKD2+zKumxJK2AdO6Ywj+a1Y5MR7+YYnaXMnAL+pXWLPGvdAaXKVfWe8Xl8IJhxHud1kqly
oflXQ+1e2bCJdutcVc9KT+RURFH4aUJTcD9or7+VISmOzNPLpee5j6G9Vido8tpsN3t5yee22yyp
5WL0WpN4bdz8dWGFw6ChOv2xJe5dpbiXSTl3H12LH/w+B4jz2Sm5eKesNlnDCWyV0aKnZwylkwD1
KTsTT+umHWiYPQO5Gu2Kn/qcQZy64A54hi/HE6c311q28yHPx2UXuRPaXF/xXRTIKaZLd01HMu76
xgW2oMes9/gZXqaIq7pAL+OvmwHO23SllQedixVp1Fh3p4wvu4wUD5Hfwm4uwupKgZc8V0ZMjxyO
6DHE40FjCdNg77B2TQZHvy8kdw4wzNKF2eI7WfD/vZhvKzD/WzH/Vw2t+evLn+v495f9VMfp9swB
hhrJqB+hxP9Ux6HYIlPm+8T1PYIP/S7Pcqxywoo+FHqot9uHfq/jSI764CNDhEwp3np/p47DjPn3
Oo4rAfdLBEMYT4T8Ux1ni+i5YdLclMXYnVjN6ZVulzNr6z4JjH4MUYz6cqwOrYrq9U2qoXfujLVw
4CFLwvyt77js2nis7N0o6EkNDQaJGhIkujlQW5Xn7It6olAk5U5UkzwCDXAT0eU0hnkj0L9Nfbtr
oq6GUiK6Z0gXmJFDNKMR/Nky6QiEkmlx1lOAZhQ3jd3ewKauUkwQzmHEe1twvMmL7e1uPYU3vlfx
Y70dhm47FmQ7IOz7UXnovp0dth2jbjtQk3bcNNoOGbp+P4WoRWIScpg5OIvVt0MpvCTYjmmA88q2
gzttR3iqMUg727EetgOu5+Ha2478iLOvUQMgwGWbkE1QG1wqzvNWLMatbBQwquISlWQ2g8narbiI
3Bkz/GHiPZ9V+Nmu5ZTv+k0CA7ECmEAO6Pm0uZeV/8BKtzXHDu3teFd4bX8I+i5pexke+sAO7UM4
ulxDIMijKfajnO59b54wNebBe5Wb+bjFrvamrap0bdpbWw7XIe1ObS2ve5ec2ejs1DCfnCZM1Qoj
aLtAyzUJiu7r3JL7YuTP/ysG0P/BThCQ2193gv+qu6J9+3PtgCGEV/2oHdgVgB1BPjaEbKu1USN+
qh14HFwEfDYIvvOwf+gBOcgDbOL2YQoBY0Xn9qN2wCoieKor1ov5HCsn0LT9jR4Qobk/1w6GNhNY
IiArfJ3etpz/5x5Q6GguS5/VN47XP4tihOFt6lfPBsfaa9q4DHH1aJNFQRO7E65wX1y47a9n1gAS
mNG7NUXfxEY4iY4M2YnA3UGyeJiLiWQsUiaZhL24Y56GjsJ87Y2PBSNdUnv1RQZ9DflRH+pqeGnC
RcTGo19zUgxJ5zQiEcFyXtj0tTJenzDYDCmqcBbaKYg9266Zaxwo102wQBIwYxIZbhJq3TAZVWt3
rbK3xAZBSkR9NkvgQ80eP/kg5VKY3l+VG57QGndpv7SQ8qahihvhQ3UCWNhG/Hbl3tOUrwKnHKqT
lM4c1xH8kDIsi2QVHYmhaORxlB99Me5spPK4h+0ck3l5XKW4GqP2DKviLPE9xcoWOm4IuZ+LKp2E
aLKqJVe5Rz7kth5RhwxsIu4Dkx0mkHiVw2IK9bXxbZHkrHtigXaS0LXCiCSY+kI8jKTsPoP1eLQr
nc/j1lD7ULtrbwbQ1evPi4Ch31b7poP0R02gYoiXaOv8nMQyZ1dSkEe/x8BrivnGwWMbsqoya0qC
VWQrB0shNHf2jjL3viO/Buja9+BKYAZU1VmFL+PyAqRmR7vwZbC+2hvt7msziEx3c6MeuSfbh9qt
u+qtEOvXeZH3q++iPEKMjuJKS8ZetFde53h/H92xdQ/LSNQN0Tm/oU0OaZnnCeWorHMUHkZty9iV
0J0k5fbaL1fY2IVq5j2IvKe5ndOoaOSVv6g3uPTkAF2MQ3oPmVz/mXi/m9EbDP3XdQ7Pyvhta97v
tvf2mt+qHFaKI9SFYkbw5B7sv/q9ym3LUgIvwMTioQh6AVLXPzokhnEWJXF7RDkA6W+2948qh6U7
6JgAoCPi6+Fl4d+pcj7fqNif2WQY5YiigOimeEYJKvGfqNlhheZrAhNeC79dMWSELhAjxWRPUwdH
BVDqmhtogg4JoUkzWN0K00+Du90UpY3lGLj1FTOF28BJFPgzoN661qFZ7hha8gzcBuRjf52DesGY
URqQtaZxunR1BYUUXkUO744D1V4X8ykIlztTRpirpaMEJgmcbrO0T8Q1RQKI8TC2ESTTrRb0EzRC
XehvJXbY5cb9UKJ06DasM9WUKViU+3arLkBUUWdQcDrVnNs+v3goRHboinjZalPXQZbtjvVWs9Ch
kbjY6li1VbR6iea42KocLEYRT8v61KAAQrM3cY2S6BjUxm6rku5WL2GEnMDbfSVbJS3M9GncaquH
ItsUbpA2KLvDVn/ncAqTcKvJ+dSPiR+tmCXHsE7drXbbQAcxc0nmBsam5VbhZ5R6hy7n2ilEYsDi
QoX3vi5LpxITDLvS7Q/FdmM0uDrK7Q4ptH40gW2Ssp8vg6lw12y3zorrx6Hurt/uo7zKkwa4Zpzr
vDtSCbRtoeq6JOq+7+ckj7pzgStOLmUbg0CKvQhgFi5AChQyRgghHeENTmhUa0mdZOrEieYNqhwL
Yzgv0K/HpYx1raodsxG0W38Ev7Z6u6rW5cW1K0xe8WTatkwwoBZ73/pF6oTidong8lA+JjCiT5NB
c9e7+kkoi3diFZyt9R5GsWThUsNhXbxD1Zb3op0uRQBzJypgRgBAzHKwonFHnfygKwz97sJv3UBF
Gev9N1V7w8Hr1JAErboOvHbcSx9ErF99RDTzsSn7GCGZG8B2XRLxClmImpcJq8tdWTeP8MZSW2+9
q//sdkalEPf301w/LFVwbEVvYwguUB6A3CV2KCe80Yk8d50GqspX9yDn+amNNsWIjE9LDjOJDh/o
UDW4WGDkSX5TDkHilLjogvF1gQEByGEGzhtVuJK3UZnBefBH8wB7sIpV6ZlMWXEUAxWHfoTjEK7P
oKY/98FQJEuBG4KXRZ+VE/US6pqPUwGN2atokSJoc3IcdUI05KVdmY5d0ZOEKO+BB+Gu0PQDPI29
46vb2S2AahX+A0UoJmXSbWKY7bCX6VURdU7iV8VuKeqngkbtvvXsSyPWBWyygO6saexIxpPWqdrU
b2q1G8f2uWwhNtmhUDhlKztzpC9S7rl74a76gpkGPCDMipzUNMOjDWH8QvWvB3uDANabrjGnKN1f
d1H0UfW5POnGr+GpLG9Vwe9LiP1x6Hc5rEC428Nq3+cJhuQ01W2aC0JBX0Qs6QYY13U0qyTHcBbm
Fd46eDxIjJlO4Q1Q2KRHogexBXmoxPISyrHNxrBtsyXkV5tz7Tn0rUK8IFVLTWNdWbyhwN6vjvuu
Z3oGMnGwq3oGmkqyEPgvkBO4XYt3dnU/7djiTCkx4T1dCD2KEV3jWqKUeKS88qrmZFe5t2N5Rot6
V+r83NTlUY79Qy7793HhQ9rO+gL97CZ0ug8dk1DDLEYvF5LXmaMuojYqnNzaz9BrzvuyUk+tGm0S
zXCKYHNiZpp1BppxTIppfuTDaCCBQbuc2g6fvKjAJo0ABKNlVxnjxg3zVcKBue4qC9xmfpu3GAJQ
7iJr4fxLEADLhgJ4YALqDQ6ANQNQE7iAD26A0OBNbiCBrSJQGWAL3EF9Qdzk8wrmYNrggw4UQrfh
CDOE4zTYEAVvgxX6JrqdYIEKP4cfg6RSXINsCEA44FtNZyNv1g19CDYIQmw4xFpHF0SntoiMezQb
MmFythzpRlF0+ScZcZCQ4CuaeUCCY0MuvA2+GEBh+BuOEW5gBkJPEx/+6ZJ+Rfb+a5eEXIoZ/k1J
wjT4U58ERyDigeshlIg8FCSg3/sk7A2NsHqIRehVsJwGmtBvfRL/BX0wPgStPgDz8rMjwH7ZZjdI
UMBb/74jsM2Vf+yT8EAJD88nhyq1bSHfHuL18zS4QH8H853Tm2rtIntcQ9X4r5MEVnADnthvmisH
+ZUDy6M6cYx8sFTQuIL4kLYEp8fLwyJGvKvKDB9pOgRw+t0ZHj5bfJ2YSb14dsXlHhQvaz+ACfGR
/9NDeEZfApw7L2/LHhCtyMesawaKGxkgL7O4TwoeDikGwRxZlwoWhNPANtZjncpwPJu247i5i6fJ
C+8Kv92HdaMTtaTttO6LHjPt5DZuXJXqbhXzowoVWrEhiItaIaMwOiLhQIvjQq8vvNR3Ydi7B9OQ
EPYluSXuWF8Zuqod6P0WLEWtAPr0734uXkyJubNxomy0b/NCQOIFfTY5vkjrpr1CxXvqWtHFA5u7
Ax0Ql9L+3CVV58GiVxjyVgbczZuWs78WZUb0+mZYvjNqOnt83nsoSlh5uh/8IdPI95DSmxCRgYer
J/9t5EhzAWKMuRuT1b+0dgVxhdSPEaBRZDSCFCg+MIPboK67Q4Pg5aLKDzV3UtxMd512z9JBc9ag
29JBczfhV2oaiqDgUuh2Pzoe27GwO3lB89oOsk4Q97y4E78gAtLCeMnb8ISZQN95i9vln0td4wIY
fCXaO2cdbbdvvBbGsVu5n6CFcfA4U/WFBP5ukWAFCmK+wLfZRYQLdH74cGHmt556Q1LCtYibaTmM
Vl7TNmeZMy9214/yfXZCeKrMPocu/zCuy503eZ993Z3gET8XU8mTMBhwFQj6tSDLaXaF/VzLvoKv
3yGa57cJm/QUB2gly0DfgY8/RJo5FwTWPtgC3xYEzD4Wgt0AdIUyKtd3CgXByLGCbxNy3IzWPYB7
8UpFkfYYH6cRqH/TUZLWiJ5Ugvv7wCmQJIOf3XkB5IkJ3IGSXwSQnKQ2dt2xueyS0oo9cYbnYlYH
hWOTtAwoGIiyuIuGNRvFdkcCa19mmiewl25t7nzSowvPzPfQVJUfg1wKBHdIBPTRopVkUEEgpURV
lISjOsEOn2OJWJHpGZz/sHof5HjTNfRlGvJLWK9lXNnymhH33MFgikPFzy0yUDHx/Skp4R5pWci4
HKd53y/g20fpe6Ao8dyEij2vkcqaervexLNf+d3D6oRya4CQ/iPBx8iRDwtxMDDMn3pJi2Mn+XFd
+nMuWHfO1fApXPI9sOcHJwyP0mc3Dh/upBu+dXS9bhp9qBTem2sIQ6bzWgMYQdxPk9pXSF0IU+x1
KTnoLN7GOD3h52EajpKU5j5nk0Tqr941y3wORwBQ/wid6BECdHz/TQDYNtn+ui/839XO7aU/dIDt
wVNehOfHwY3YbpGfQXaY4SxEnBx3VURxQH+/3yBp4ovAVO56CBBj4P9d7YQOwCBKfvtkUD2DvyUD
fBvz/ygDbA8wDLEYDEnwEOb7H6838H7NsiBwdGOdKcQoTjB3yrhtWXkMjWxvCorouYzkdRjofb6G
wV1vKx6vwr33c3pfafOm3K6Pl0Uey2k6AzndTb65VIQkzrSe6taDT+6lK9nKL4Xz2/kXt8aQ5pvm
mlC2y0V0GST0eevchaX8GNn2KVjA9OX9G6MMlgWLEe85Vhi5pOMI0OMwzpl81BZJHOre2aq+NkBs
Ju5eLxEUAh4iscnWfaC9ZC7Ex6AvgCeyMqv1/Ar7/Srn1W7U/meQTPtpHE9tHgLZ4+eJ9te5lNdc
LTu+0kTI7toQNNiqv0Lc7CmiwUF63jWHUeRU6qaEYKccL5sMyLlhTRHof+bFcIutBFditgl87z2d
TebX4bUmHWJ774PmJGuQKgMgbBA5Yi9bLLUI6RNAraMz8HQKBjS4694pS5RRINSdfrADMkn5UtyI
AIxqNKdeGX4MYK+vdrjHgoTXlizXMEWvZd5fphD549WcGm0PyP3EkejeAVBh4IUSkHOos/Q+AvgU
M6c7QJRtMefOV5WJECa0/bnPqxdf0XveAWKGq7OFl2+MM14Ad6YrRFS9tskQOfclX5BszB9pYz+i
ymdhW3gxyO8sryC8yNztk6jprwpWb9BZv9zV1uSpKsIXOFN63/XLnnWBScTSPRHSyRiI/itw3M2m
0sLts8HyeUU4lOnyUPJWHkeldXlD13UBGEjD1t9PGpFR7gEfm5bhCArZ3Suk+mOHdfeVgvUHNm1K
hr6CcVd7/tUSrCB9gc5h+sQICqCPpLm/lvfYnriviDuAQxSHsvWGLRPIMnxLW951XRPUXCSJO4gh
I3NLTOUzPYDcwjaH0D4U1PYpYueAuJFK3SFy2iWQEuCvi+EjwyWVVaGxcVmTu4JZaGDl+4zbKuYO
+eCQ/ItiPmIN9GYlwY7q6rofqjmt5mlrKt6KlV6xcnxyZrzuSptxQgOIFGHfgc5AvBd4t7ojCgqF
GQGaTcCc8iAEdyhpBeqZvgpocbELhQqoYm/SgfLrQgOeipbyK3fMEiOT2CTTJPu0IuxNdPxza8nH
IAjf8PXD31NId1nr16nfWSQpG79LgxZEZ1flwKBBbnW1ToFd3iD6fmLN/EgX+24i91RydsIcDY3A
MRkyVI/FSjLwqv21zed+B/JeouI44ZWq8wdEY8AC8mrIyIZ3GIp0xQziYy5X/JR7YKeKKcQPgIVE
GyBSghTJnXpfbugIX6fndYNJalAlQPZfJSiTZcNN9AaeYCcH2DmgKJGsD2KDU0hPdqxDYLT3yT4H
vzJuIAvKVNIPwbEQBnlisC5W+PjkDv1SbBhMiJQ/QtyvjtHpsIEyS+6m2A3whAAJVA3MjSua/oRu
dM2G2dARwMYK8kbOPhCc0lqICPi9L3n+yd9AnbzLI7y//B3AW2B4fMYR3cAepXAs9cwGfHnIEbhk
2U8bCGQC8DMVNJnNZyqKNcTXNp06mB1Lg9Hfwqph4Ipm6V7LcUIk1j2NG3hUO5zHhQNNyIBKqqT7
MINSClr5AYlajP7gl1pdAuCnyAaEYJuQgfDi1lYftaQYCxqw/PU3M1vKqt3BF4bF7Si43VAyXahW
cMDpWOzAntK4dZmzdzef3LZQW9vNO18MOYHTucMQg/z15q9jB0qR/NOLfOtFttbgr82Iff3Wtv/e
hWwv+q0LwXZuPGrc+w5XfNsz9BOvwYFr4G8PXgVG8N+7EP4LZmv0yTxE2A4WBj70w43gWP5MAGrg
H95mYfw9XiPEZ/rjlE0DtBrhtoyYUbp9uj9M2YjcRmQxjN8Q3FrgT721A++2TU6+00qSBRKRzs98
G67Ay2HOaraRa8XsFZb8oltegdauXqtenSxY/YmMYmcpSk/c+fWyTZnrsV38PjMTv0NK7H0LhSaY
dECjk70TkUQMBaJC/d4V3Z61wLs75+AU9WugFz+JSnUR5XxXkaKMw1GniFsd4KocXKTNYl/PScEV
0val3WNB2DVBAKGAdYEETlDvjGsP1kMlah3vtWy8eOmn4KhZ9Kmj0XHV8xcQIFeYe+sgy/G9PXNd
pmMewmII1JuGPlphv0FcAuMDjKz6m9Vxdgt4Cawa8aD8qvNUIRU2jy4GGN/REAqi9ojFz/huwSSm
g4J9MUxXWLaD9SHlQCBZUg3Syo8lJfvSN2KnKx9WphZRVs7eC6v0uYIslvY0go+izHOz5J+BFyJ0
o24QeUY/1eTBrhngObRue5xBryGXNUBRc5ogdWcKnbZhat99q+RwGxKsb7l0pb1rguo4iB7XCCm/
2mZiscuwTwbrOx5ZTb3YF/YFygmsBs97H4lz8iZznEd7KTX8mJwjFzFhhwNCjma+KFimgAoRjlvC
8bJW9VvjtPMn/D7PY/B5bZBqhnU+1fVt3ZcnN8wf5qEcEw0BZsByEt7Li0NaA4q8qISIEYZWEhr5
WPH+ekGvdawHBpMjmOS+YEwvMMR7fkUwzJ2iSk17AvT4iJ9L52bULbo9fGT+AIPF8KS23tLGvUIa
bwos3Xc6oHVam0XsPatkHUetJpeors0TUyE7OCtkgX/K4fdyiHHor8vhv5qXr0r/h3qIV/1WD7+B
JhR+KiWEwYf9SXXEblWCcQxS35/wNZizWN6Ikew7avzzsjb2C0G0GDtbf6WXo781lZE/L45CMfS4
iy1ZESo2xE98eT+LjqoLYHkh6Hbj1v6HSg0PZAjODR3uqqVDUzRReRIuegCPHtBTYE6oqnyXT+Gc
jIvJY7fHRBbZ2aQYqu5dNMyJ7BAomekYwhbx7kYXvSnl+FxtpGRWl5135EIToMr1g47aMl5bxXDy
lyund1XctBBowK86ibMEeRqNEYapCXKGHmdkZNrmAwzg4Cqa1vZSEjLGKgROKnLgD6SO9nRAT88m
NSehRI+36vaDbNHy1k4DC1UPx74LdjkbRTZUWBQS0eYN66QesYoHmj8JDsp3HnA+vDjvh6t127qx
BuIVaW94hDBLE63mrNXH0rt4wv86yRftJyMXB6VyZNomg9VaqynxE6nqtK0XBGbWocs6W77MKxCc
ZdRfzTifvBEOJ3fxDekpPw6a3dotrGjbzFkvZvROC2WfgzI8KrekMbeBm/IouGihbwtM0TGdGJbq
Ld5NFeoaOp/JPObiV+JHQzwKMRwjTV1oU809ETO94478gojM3dAy7NeofeiJnvR2pFckHqLJ2/kh
MKMuVyOy1rgS8mr2Yu2yCynk0ZqCxkh0pCVr75dqAA6yGi/rfWwEYwPm05BjVVOI/RyZ6MfpQYyu
n+Qekk2OKpEU6/YI96Ejiz5Qvr54jmj3ja3iEUgKejmOrKbE/YMVPTBTuwNiOQQaWn/yPXwvq+73
3G9g4OZe6952dGwfMK3jD9YDZgJ1s1L9pVDIhpHJucUb/IUrDFu6FO1JVt4nuGBXGiuGUodR7Myb
/bdlNm9TZO1uGBE56geWH6IleG1wRBFfI8itbM5gMZuHgIjh3DD3NJXlc7fy89pjQguU3CukxXtr
oS27zEXuEqaRqnLcI8NwPZYrjs/0QYr8tZcRO7Q+9iyVTvMAxxrtODFPvR8dqx7DHwvUCTRhDUQp
bHZsaI+hCNAGu/I0jW0IzXx9wOecL7jFp2ThSkGbDDWipVixg3kUmVO+/fIWH5moMA9TL6dPgyoR
QFmB3w9D254GYpZkcXBpSltgZhnqMVmXQX0Sbi4OrZT6tsT6gXj2+3RprbdjpnlEyLGMxSix1aRE
AJ4gmY11JG2W16XBhpUKvq4dyRHWqoQ7HMpUE3N0V3hhPZPHyMvrfYivJe5DH+rodkoZNnPgPlwR
o2kPdIQEjKhNqdYRiaERjGrteDhpdEywgWeJLZVRysWQjtRDD49/cWhwW2IqUcP00VvKc6ANUpP2
mlP9MEWAJdah2Usnr+K2gSzfVt71tJiPhQpaSDrytqHmroL9wKrlamjWT0MOkbWaRhQcVT6GoOLp
4h7sMHwYWejGvWnd2FWI//EaQ8zQZ5Gr1a6xbIiJXq5y7d9Vra2zZfayiHQnYkyLDKyBZJ1/LoR3
g1V019icd4soA/i5aXjN8wDwerV+qiXILziJGPnL5vPQAEVB0hizL+k+KEnPi4PQ8FTjXYNVibZ6
9E0ZHCCOQYOAa0QyqbDkKyhU+s8V/u0K327cv77CLy/D8PYfRprtVT+ucFBUHFRSiN1/5NddH7+N
NB52LeN/M8SI/O+s6K+AFfV+gZnnY7MINq5C4/1ZWOW43sGfQwXFB/FYG/Z37vBvFNcfRxp0CXC3
oaq51N28wz/e4dAEt/dMON/Y2R+iTE55iek7QihQ2AJ3LsnP41oJP7PQTStEiz306njeTjEeu7Vw
42UK1+ryXQMrFzKuWTV3repjLHIKgy9LOEcNwofwVVB/dAFjadGHJfQEf+du440QDYdB78Yiojmg
qHXlad2pGXYRTqSzZn0oyNphFpgRs12Vh7ByZMTiZQ0BkJLRyMOosuU709FU3t64iInsIRvR4GPt
OTLcRb4+FsQDOdVii8ShcyZ7QNEz0LZ8tuxEyRD1E6JsxgzcLgAYZMexpYjVrwWmHFSS2XNi29kp
c2odxvDmMEPIChsmGgdNPnCoV2ihMl7Xxt+PYMtkHPQIGQVWvoezQ9GVsPeyBYIBhqLJog4f6xys
aERYHwHDSM1nKRAfZh4cEFE0BNoQ5o5aO+0req8qJmj0scmDIC6rXQAQJvCwJc8W7oFpCtMEIZsX
j9WQYFclTh3W3d3SjQBCHoxDumzfqmgN9n7tiwxzDt0Paiwyd9juCIEGiQamvq1cAw0Hq8SabgIg
C8IqYw72xQrmv0nkHQ+BrvC2AK6B2YJiP4sSUeyGziu0NXEI19okHoeMLLV+j+Y8R14THlTUlNOQ
zlpAnR1JtFeqGVB+3DIl2Pt3ha8ZVBFM3dOmIRamROAd3WscRLO94zwP9jNX2MplZBCruUEmXkNo
n02OKOmKLhDIx6e6BQAl+nITY9G1QKVG2jKqbTx2CNwa7A7eY0VNfydsj4lWzONdBFExXq3XQ3q0
FlOeIvVuxULDbEDrFyNC22WLF+EKbFC686WtDl6NTCpM7ubwT9n8VjY3WP6vyyb2VL9Mb/pl+A/D
D174o3LCkoLpg+KJpRnwpSjmot8qJ9wqjpr1HTH9psP8jqYGLl6EJUrYJ/dHAP876orph2FT7Jbs
+TuVE0uu/ywGMbAbW2lHWohwHuHr+3n6aQUDsTUxdeO6tTiAfdhLATQApMDZRBNyx4YMFwiKau+7
K+7fxdy2JcUmX+xx0JQgDOwMB/QXQcaRqk/EHPqwC2SfGImVNKUzk1SOzIkjBK1TOOnNbY/IvwxW
tGgIWSaLu56xkPCCif3AFMceOkfue9s95Vh0kaw9u1q1BbqtqumAbUknsZGDFQ1O67bcSNDoCnra
RxEgFTMW7I7PUfU/7J3ZcuTWlUV/pX8ACszDK4AcyUySybH4giiySEwX84yv73UpyyrJsjv03A6H
w3JUUSQzkcA9Z++9NtvVlKmr/a5bJpK7FT+NhVX7E3xgiJikt/NxPdmlgzEQcKJmGC+eqCAhjVde
rl1PjnhQrOLU45pgeZE8li2IG0WDdRpNV85qXrBTbrVY+aanc8ByZcuA55BSqK9rp3rRXftsJBjh
Eos18szhi4viey84NpUz9zMFaAmWz8RnLcuOv52JokfNsnHdctiM47iAuy1uWuwcsFeNfQWHxOfE
fp4ER7x4nbQdCc5tZjcMIiOckFwrA0Vfb43Iftf7+iEf8L5iXmS3U97Opr1dkoInB8bhyOlu7cF5
TJqIe6i5vNiS8pROVh0yGeeBKFMS4emCL427XN8CDZlLZ6sl4jhr4iNZC7h7vf5oJ60GJ1CPAkT7
m2x09LOInP3sxvfN2UyQMpmPJvfKXsjwUnm2TZ0R/38DE69fs01v9COMPPclsYkpDk3Jo6JKd6Q9
Sj8vqvfcsasw69me6422FS7EOzXeLP2yTxd8qkWRvbWt8eFY+sdUqfE+bsyzpAVCmYohPI/FJluE
+WRYOWDUxWXCjVIy1c2xsOyDsDQQnMm2dWNGB+ism2WecWPG9rJzv9IBpTX0m2lU7tJ6+uGt+dSC
ACBDhp1wtzYmCh+Tmalg4WyY1Txbnv91kBolbscQo/lel+Nd1c7f4YY+kEoNyZluVJlX49LlOvKe
K2M0gkQOihhOmk3q4bTNHSQrzsBOoMnREpsNSqglLh6gGBvslg/d+lB69nU0dppfyBFVxBmfC4d0
qctKYWvIUZaYtbpV5HirAiC8Wph4IyZfQ47APbMwz1oOO9BggYPwuyQ9nlcF0kxnMoPhCr2pKj4p
mRywCYgC47Cuk0JVwVQwhNtM46K0X3um8666S02TEw2Du+sW0QFkxXmOyFGPDPeeXv0wO8F0ydhf
mEW9cVhx4nVX8hCwDVsVS+5EGisOk1XZMbxlK0wx1gntdZbxMINtUTV4QyMug7GIvnOigrayNKdI
biZKVhRzbe5LLeFQw/JCifOPfOAjo5cV1zYLjs4jGiQ3HqyxSfQK8YBy9OnJtUg8c90ZclNSlfHG
BKbtKzVj2Bg3JRvK2Tpp7FiUFCDJPEJpdeUCBjtjFM5yKTNEURXELYuaZBpPY5tjlZdLHOGl90nL
1WyZsXZoRZYQb+Ydh90KAX1Z73DHs+5csbF0xbgGNdsig4xxqPKd/GRtIs5SLJWI1UXbEVNqWDW9
uScRPcsVVA7qmPxMc1eYxpVgS6VG6kMkhyBNH4+RHIuML622+9JtccC2L7mHC2djc0jKgm7IrgaM
3oCwRqPQme+jklRm2hHMxmF8/d8zwa9nAsSSf38m8GWj3l+cB/iif54H2Hgy+FBWgOVE1+2fl6E6
fyRVI/6DqZKZ6DcLpmx9R8tgbf87r+F3cUi2JFBoARgR64v3t1iLXzPZHycpFqEcOFxpiDFNzCp/
PA+M9dyBn06Mm242VfYk42FazAYPhGGQaWog2+hwYvrl2cH1F3ax+d4a7nXPmB5akjCbzeRF+xbw
Indn1MkSy6ba+u5aD+Hcjee5xUlpem2F7Dq8LV75LUm5vRfikpvZrlz6I7Pmpam5/2XNAl2h1jvk
Cf0a9iInecV57HKvCoRX9LBfo0dIEc8WZCtWV+sc2HNxY8XGjTbZGw99yhHNIbdW47CC6wsGFPdg
TOYdJRgb3a0/CRRfhim2jiXnHlArby6jndetTzMyqp/rfHININIA0Qpc9XUUqDORQlB8T5M2vOZ8
MANmqL0+YAKvgR/4MNFav2d1FaS1cc6L5ihyE6oZA0UzJpzdlYrlk3Bv0qJlyRs3N8D96uNcAAaE
zBSTzq9ymLQtnlA1js6dXakh27vVBpq3frqMT+fRdN7XlBe3jorkTieC4ydd+5EQ2j1loIIsjA5+
pNfLLik796ZLZ+Y1Z+Jd40jmt3EfBzn+NBDRZYIYrdk7IBE4fVpouubsxHdqbGg7aDCx38SpYPIz
uF9OEx7JgulLXUS2N4xZQGBIUbQSWeuwUlJgzxze2BjtiyjSQm1eyOSZXbo18WdukboFPMxe3/WV
UWxKI7smeHy19tlNXmqHfonXMC3cz2jNbD9zCnOjdKkRLsOSbbTIWXaQCcRGzRKXF0JbNvCEvV2f
cSfP5nbYeToo3yJu6WkAgn0ht+eSN7KSDeyvbK+qURRyzDX8zjCUO2iizLMrv2kzQ7tLORxv3Vjp
cUVOrr9Ucb1RQGvDys3TI1ifaRfrycOid7dY9MtNoriLj93lrRIgQ9LExm/P0HmsPbZaoHpSnAHy
JQJG9jp1VvZYwhH3u8Qr98tA94o+g6FCV9VuMFYhzdUr3l9ed6RNZdi7E4JfMuFkCp0h/ZHLQV3N
APKMcaHs1T7bDpaQ0iULS4jCfuGVrY/Vu8BOkAGsyCY3bOtCBDY+g7tVm++yebjYcvDscPBCNtTF
mSaCfg+s+rMv17eekX3b1xpxK0+0pxTwcGBAYBJtYx/sZcKuqTjjzo1K86IrwxPqa6+Eaj/goUz0
WdPwztbvRM82zqqgGiaZwHKcNDslXR40ZdKw3MZ2oI7escTVvJmmRSOFNpCv73DJ0F2BqxhjTVkq
Ryxm+9QwHkepHGJ7eCiQEp2svJ2cLlAU59RZrxGC41DZ4wsKw8eEFDlLTbKU6qQrdcrhS7GU2mUq
Vcw4V691vlsCDHYcAVUBaeeQJU7QLjV/9JynVWqiaba65F+LH51D8QZc/kOFgEqX0TV2cUohpLZa
SpU1TzWwWWMCIWWpsPNINbblr5dSn3U6w9ouUrPVmgIjV3wvEHNVRF3kZ+6Caj2GDoJvivA757aN
BoMWPHbE8NhJAeIwKCZBLx6lcuxIDVkgJmPgfh5wFYaOYt56M+G8SqrOoHr4m1KJHqQmXSNOs33Y
w3Mucf9FRNbQr1OpZGdS01ZmL+zn9qOTarc1piGVCvY39NPC2lSI4qXev1eI5OVgvaDY48thJ5W1
69ss9XSgant+abFNpNZeaGsobOecIMInUo3XkeVzj0zPWGl7pbH3y9TgE0bBV9LpjjKla6F3iCKI
/L3r7R1Efw3xXzEbUIoJ6Fo9mIXG/7e+J26aBl06fHapg5Q89ZuxWg699IYP0vdv5nfg8BWeBUB3
jeUq6cVdga1cS5MHgc08sUtge/jOBwzoIu0DWOT4AaLOgUi17gGZXafALFUE9A4TOwnRj2jAr8Vz
TFl2nat3LhJTLoLYLi8qKb//mnh/zaeYHFj+/dno97bMfz0gya/85wFJxe0C0Mi0CN9+QaZ+X5ho
2HFt8rouYIIvH8xvBySqWtkiWiwwiPPq9tcu5bcDkkNXGLlbz/y1y5UTzd8gFgDP+peFCZIWPwJx
GJMqMUnf/nlhoriKkbezqG6GhaaSU6bXVnZmT5Ppm74vxK2TNiOpDGGdLTCFQ+LCOITp3OrFw6gJ
1BatuG709ptYqqPoyktapGGv6JVvZNGJj/QJRmIelA5PHYPhD9bRdaJOz8TWPr5MH9Wow3PM7Qpe
8LrVCpNVwyoIzyZIrebAZNNnp36QLg3XDFtjLLU3XWEOoTlGbKd4dDWQrlA+j3pu9/GOJB6LGu7O
ZGcK0KM2GFrVqMlL1AcndYpd43hHW7ir+WBEPXe2qJiyIfS+poZWDhCZHCWGr6lCRkm5nTNrOF9T
h/iaQOjdUkLvy1qal+jWm+bLcspAjlQtMKIONp0ukyifHelR7ZNp5365VrGvIsmigUtHaya9rcZQ
nVLpdtW73kRBTzfNynomwRJbReOjjkVWaddDj2V2dIqgHKeDCa1xxFI7T9aNN9qL72K2ZX9xIRj5
vVaqKzy3Cg/04TRIf66DUdeVjt3W0y7joBwobdqUUXOGjPWpc7wrlGmvpf2R4oV9jAUYdMy5wBIM
2upNxSLs4XrUsQzn3gix2dlHWnxjJ2PnN6K+F5iMnTJFHVB3E+bjtndDY57gMJvEnm0iCwi4bncU
0rWMu1DfZN5nqVUbE1uzgb15kjZnwF9a1Z0i7M8ePC/4ghwW3LDGHl1iH1+r4obiKt+zVsq+THBg
+vM6VSeYmD4n2TPvZVBn05ZGt3MWVecOOzZpwS3TzTGzwBTa6qtuUR6AfRuuw1tc4eeWb33seA+E
yAOeDDsX47cm/a8DVvABMO/SZOfW1vGsI8OvyqOFdVxAwMLTXIV1Xhw6zOUubAcPs7lnYhUqxbOD
Cb1Sk0uPKT2qrWsDkzog77OajcK3F9Zx2NhHfgh4oFrIUZEFyHp0HTZQCS5pDPBKOl9BeDhADWI/
tbQfraNfRm++tNI7H8Wjdedgp4eXia8+Mk8LyLKbVqjZgXs89vtUrwy8+HB4fWtublTbup40LqkB
HUGMnQLfcKrDuvN+LPF8Vmdo1IVxDcr3bm56O5xr7NBCOKHRNK99tnD5GTZ9T9EO59myVYyI8KU4
Td6cUMYwPJCZ2hiKTMCaPebbCh1by0nbGIXpBErSzhLVCto80U6RaV5MQqY88ljfZTPvOBmj26xW
dh1Q7BoK475OcnwinZNtm1k7kfzfIWXImjJWcOADuDp4t6T87A3dLSHeJSjN7ko3WL8mS0fwLb0x
o/zaaJSdZkybwibvq7NynJrivTYL3oxVCXUynGEWkQ5Ke/vOEu6hotYibKvMQGdGcY5WMgRKNgSV
qnuBnkCNy9L6ukhhiOW9EhR69dI7DEKLXoyBUqznQfrD8/SHbTQcEVx9H9WlRfiZhG2ZjRe4yU+9
Zx8VC4+AMgggcWXNTms6WZ624KHmDlAoog48yvNCvYmw/6V1s82G5bpqtIlkcnpD+8/jaMP4S5L5
IbYtrnf6uUoO+qOb30QUPLGFK7B1t9mjNxZl4KWJRyBcma4J8YurxLLz/5pm//Hs/497EQI8tHwG
7bD+xbP/j8sRy9U0iwMANlhZw/n7s1//Bb8L5Z2/I4l+E0ucX1iquzDTnK8uUClx/Pbst3Hiqhba
tAZ0Hu/s33r2s1H512c/Grdl24Ylu0IN+ec/lSl6kVLZsevWNyWBhq222EATdUH4DnpGyvmRRoJW
ukVatum5I/Bz9IfG0j7Hiix/VRTTcaI1jS0BmdReHfYx20qL1wMdAKNFVQ5Md4y5mZO9TREOSA3Y
DlFxbmw06ZQbp7BcdpWLd8t1+2i1wASaCX+Jla/XCz01ZA+gZKfPUWY8FEVa3uBDUQii8nkYUofR
fdbSYyGS58iMcwIy3p1LtN5H3fnQlHbYxroyPZSNt4cZepXVpB7VGT9WN1/4SN3MVS0OQmnOIxMn
8unOUrssGK35unDa+wTkrd8uFRMa9QxxbxCW85Igirv3hVwHlQXxyIC4tBRvRbs4be6B6WyTGcM7
DhYYiG16GIXzqmnswKd5OrOOJVK4xjTOkDkf5mKfVKkWzvlA9VybhzzcLhHj9t5SNF6aIR2vRAqr
obDis1enR8/NmUCE2Ky98iPLBJb8pnFQatPdtE4pu2UGMmXMTZ8tMsjzlW4t4d4imxCX4tYgiPH4
fW9cyKFcqu6H7lafOEg3w8JLljYSZax135OBHrcu4tloOj12HgDSRo1jyLB1vxIj/XXCTAN76aS4
dUHAqG6bQjs1czZTianVm9SqulDnGt6tuv5grl/ylBe6ivVYl4t3bMaMEBJZE7uJzmpXj2S1cjrD
xBUK+C0tdGEvWLRM5baacXkBrH7m2Wruypk7cdQVSeiJZrumzmlplhe9KrZmOb5CY6oPhTFeeMCt
LKWnD74z7UuGwBrWaDclwWu/0ZbbbHYNP8qTkzco0fVotG+UQTh+z0aO3AZiQKIUzqZxBs/aLCVS
s7purRwQOgEHijJGxTnWcdVRjVRBCnVgYHm8QA18ddv9QVPedBzBtxDo3rY1kVsj2i6WMYVG1H7z
zImelAWzVF7zLTAnkMGBkgcBYrB4iV12dkqRrI9GXYEj1zl2GLVz7zb2Va8tHzJ4G2q5dREkVa9s
egLWgg5c+M7UR5ZkhDj1Eiz+ka21R9jJ+TE7cgfjrtBYgRIAy+zu+gYqR9Seohwgh9NO9bFy4MKk
nBcZ02mS5SBFpnTw2XbxFTM6VznFyzbTok9R0+rRLgPHBdpzx2SowNEQ1I1WcdXopbpZVbshTYoq
CiIaAslxyvQuBL3+LUMjQTbs++vEVNSTMbXWBzus/KFS0ZxQa1ElAPCzkfvv1v7Xrf1/NECFH+J/
znBn/2pz/5MHSjd+sciUqjaJji8S508PJ/MXHWQCc+ZvULzfBlNZOq2CfsfoRKWrqhu/xzqwR1F7
54AWkc8TBxPg3xlM//xoIqeKlcCDMgWB0zTVP+n4fTRknVhL/bZkUaPm6bUT54ExLpufZvbbX8Oq
f6A2uzyefxII+E10uHQ4r7Et0Cds/dkwQNNozt4yn26JrOWHnmI7c/OVgGSQRQqNweFPDtuYvrrx
luG6yetHR2/p4cNuGkz0dW7yVsuvxtaC3V95lO4uPTYiq5ZAv/Zl6gACFW6Cc0ou3JNO3Nd8w0Cv
xW2lpiSuGZ98t9Eb7pEj0S92xSxz3aummAMPqSEgT7jydCCDZpCeiuxxi3OsDweQerQnzWwczWfF
dU6eOXjA2I2XxBRVgFR/j1R4UQrCnYp17lPIV+okIyiud2i98TxFRQzIV3vkEw8zPx4hy8iM+jBS
3aOs28kcnj23/QDQ9RoXy7dWCuYkPQEgLOmtBV3Gdop0yxpjb3tRu+sSjglG2z5yptinrhkHIkmu
EHjeyinJt2Oh1qE9guAT1VyHyiC3xkiWW61fX7WCc/Rqks90oSMvgnKjmp4ZmpkGR3tsu/hUzcXg
V9pycZphB9J7j0auIE3QSjqZBqMcxcJBolv3ylIDtep5xjreq9ejVVOQMMhapm4wc58LInQhgPD+
ZTtU6k+XsRnTlHXC+WUdsKMjI8Kx0JzlrDOzciM0ieJo6TbXxC1NhNnWMKYd9JhTHEex32vmzht5
bZMJ95liW2NYN2QgER/QkC5VSRGJsXZPqY3VOKaVjoexuO+m4aBZhGRaQ30n0Ux2cVqeRJpadMau
N/qMD6xLMlhla/tDE/oPfRLwKSBXVcI7YMfSgFVMOySku4KKYfxq9rVjkK21Rfm+ZjW8Gkq5Crt6
ABNB50fj5PtpMHboJoHOQ4kNMf14XGL4l3ksbbQ5ab6XWRW329VVAP7AVCO8ozLSEMTT27jbm1NT
hqozbTV3kuvgdj4KYWGepR9BjVCITePHpHqH1CLEvWIYgNpTj0905cil9aSpq2+lkv7AoS3MM/1g
oHhr6D+9tEO4zXdgJxctVz5cj7epAWBA9lPKFCNQ9K7HLD2F1ZRrB0JCCC7TeO0CCgsVNAsrzdkQ
d2MqEbfTNztzus0c16c4VaOg4zmMwZy4UkeGCF5k3+2nqX+hb5klEoyuMVPp7axOuc1H1ijzW1ID
UNOUwwqkDBh4kmzWeUEJHBnvJvBF2cScOA/ahYbY3Vz1HzSvTcHMiqq06xf4SCQaDolJDKpX9ovt
0CSgvq7WkgdY4DpOUK/CvB+nDvlkONZ0WAh6trKyDfQt1oTEM3s2YMZmMsz9SLqz1RKkqrUed4aT
9VtVQ8CLR/O1JPDUz9UURkrbwqOsd4NW3izV9I1BFiFnMZ/ouXdP2BrN5kEyymPXbKM9BxdN/F+3
0T+GTuRdlMeFxBCwqgTIA0r/D5MEblHDjBZ7uSW57vjmLjrO99XpkPW+8r18Jr1+YFnuR1egOoYw
2xmH/3wblyru7ySCf3x7z+G5g5pqIR388du30WCNij2st6PDhu3gqSwI5lelKn49UdCy+NeQ/7/6
PjpYBQdjrm2qqkRH/zww9TyzUopBb7X0Opk7oFIfXnyAWvx/fJ8/Pv1+/X14PXkGMuQ5zGZ//D4N
Xhxr0BL11rauWhsYKe4M8/k/v2bmX71nP/8yf/omQ6KqnQ6m9JbunSdiEptxr/4A1EYO5cQaIfYv
7Yb14FbfP57dUPjn8ZRun7pNtLnLjpO/Z1i87kP+Ylht+e/m6T//fLp8Mf/8pkoAt2NYBqimL9bu
Ty+2oNwc5o2q3aKTn6M7daOetOf4SB84rpVw8Y/ftN0cnJvttLesoLiCAnSHgLidfPHfNcevaw55
Af97iWMj/iesWgJx/7rlkF/4m8KBmR72OkoFy0xp8/h5y4FlnrcQuDL9vBgxuMR+23J4v3CGNP8Z
D/55y+H+wv3EpJqDiBNuwr9nCSWX94friH2Jy7+HOxOUEj5L/Hv/9GGKo5mZeiQQZ1ZPk0zEjERj
FI6+dCx17a2yytwMD8sXy6xZzFqi8Vm4O0RcsGB0ylge1xjrRr5yj1YJ5OD9csIWcFJQa7q2XWUN
YiETPByK2qA3h2rTRN4IDICkT0bkh3JxujpmN4E35Dx6xIJ4qpRbm00qMLzqyA0h3reEiPp0fqZd
TPoY6vu2SohiKam319T4vSSCNBvqFVL+mQ0zyROZUlLbTGPEZOFbE2ESU7rDUr0GFeEmbIPfol4/
9jY+9oT4kzoimMQNxfDDRCIGf8ObTf/Hvpe5qZai9C3skg+7sj8c18tCFH54D8StvNl4KfWqPNYD
eo9BJEsfKYqTGS1+zHevLG5yliWuMcqNr11VTzM8pg23HsQYSMcWWGME221cIWxGWNxWq/iwhbaZ
JQK5EvXOBIrMOHqZ7DzeQ2Rw/WK0aCqf1jXMqPDZDMp848BBoFdQf0oBLo+SvGzqWoVDAbBDKbnM
GYBmgUBi2P0r1dx0ExvgAAf4BqukOrvqQkoYP8Ht3EGjr/sZo7vgkehdJ0r9uUpDe8RGY9NlA132
s9yBrGLeFSnG3CbNvEPdLMmdkeuPSLPkpxa4ZrpLxiDOjW+rSvdeAYVheBhsEZ+BgtXHVS1aipaV
fE8aezNl6kXDkMghw2UtjDOVSHb6JB2ruAwG1zcUXHJGTE9mbddzaFU9j0+luo2ziGq5Lt7ptvrg
KCQXp4zU4cBgJOyjOZS8xLS0RNn8XFvpD8coriMlIzil0Ys3tdQqOcrwneJVfImm8U3RxSvHa7Df
sbNbPLNCd8r2uorf1WF5Mw/rVtFpTGxWd7uUeThnDsnH/NqOnJM2sFtCi7kv1vJTFZULv8YFtGkt
CPZ5bPmjkr1rtvJiQSNZkvkikDWWUXnABv3a87hkSPD8ZlCumrk9q0b0OJfZ1TIVvFuR/hQXQMWS
NnqIZoeqW16hWo/NLXsQJELXO5e6+S1ypkdbZQUnYpERhONI7aTqG2SSy9Rm55iGQHrUyIw6482k
mRcgsaVfROld22kHeikCtNBjTFpzsKerWrHe4qV/kuNKXFqYkaybJF33BojgWiVel3fLizWQXsli
BfBwisLObQ7EeUNJnScdE9EMi2JM25e2K46GN55yQz8k6vpEnaLL6xEZcDimAxnuNOCCxeekiAtm
oLfaKHAOgLb1V9vdUdpnbJD33U3UVygpCeYzqqn3q4l8kdVFRl19HcwdeT4dt5O843KXQknLzfG2
GphAdGgaWxoQ72KVJKMGlU3lJeCedGcs9ikbvHfILlxbjv2o2+bJMJsM0gjmlXGhjLWSt7g2oWku
Vu91r6RHD/FCr7vC73CeeZol9gVGX030GLeLHhox19uwxveaar45BQaFWHdP1FmwDo2hDDC/XzSE
WVxXuUbRvPOmp06+0UoBpdauN4vBqq5IdVMi6LY5Bom2X6P7rFkzWMTaQ5mOpT/AIXyvE+Vs05i+
oYYB5nv6PCXjTesle/bHnytH4E2Plx3nkYoTrKlRiDpL8Xzm5uK5wGIXn1adtEtvj+iOmnVlue2D
JwN6rYzqrWv1imzl4SEfDUo71pcIuc13xu7N7pUmWIf21kzFOSEDaJAFnMkEajIcaJTtUcCkyWOT
NWpv3ZEFPA2eQr+RjBZmbA9dsoYqChpeNeKH1oQOh4/5wSCZiOp7FCQVMxlZzIF18dOsL55MMzbL
U2FNd/WU3XI98CKQeyzIP64W7tleethGtaTkFQf97PX3JalJze6OKilKU50fSx2dkHSlTcqy9qg/
dvmHWQYwHWEzlslQJuo40GoZ1CxV1DRZk4bgtC/JcrYy1OmQ7owp0+VOJBfyMvpJ/pMQaJ0dVhkL
VfLpUH4FRWVkFJ+jfsCdlLKdJVBKRyEbSRUmMz0bGuEy1gQygPp1GPn/3rHDgYUT1L8/lT20aZn2
y7+eyeSX/XYmA3+K2VXV2JwRg6Fr56flnvGLrXOk/nKccFb6x4FMru8om8IuS78GNhH3982eQVrS
AX77EzH1b1hOQKD++UAGvB4wDNop/8OPIoEuPx3slbKYbdodittSq03zRKAZFBShdLXg2bhMXL7z
PAL3ABr03ozF61qBNaaE9h40N4d8520Z2VnUA2cmbpINrSJ+71oC6pNzVnvY50i3RLDr2fSjCteC
FS/JVq9tenDqmG1YlEtgFf7IqLrplv6HYue1b3nTDxP7BGlcFvIeFjpqUa9mjgC+4WUnBfMLJnkr
rBJjhY9kwzJn9Y0E0MKW4iPcDu3bSE3kWuTLTtXdN2XWtsnUa6Cy4r3j9OdyzXme5AkU5Wb6NrnK
o+gXEWS5dm9Y/UuM5508sOKiXBv2TUyOnLuVhyHBytuNtsTfHWcFX2qNoJa89g636k1FiyPLAv2e
KVJW4KZ3s64eC9X6MPtiZ7TT985Mr9ASgJzSwT27+lXLHYOE175Q25fBSA/VPMBvyuOXqrNfPDrj
pyrkJP3eed57q3c37Zo+W9X8nptuEeqEpkIExVuFH9ZvrWlfULHoZ71S+isrve2Sp/c8285DrZxX
o4mCTOVGs+h4Va3GLcAsdHS2aRT/TKp5q1gT4kHHGo3jgUOSQbvKEjveZcpgb5tYnJJmoPGxmx/t
TmHwa1rfc/qjWxGcUb3ipl5ML1jyxj20dalDvpZGm6yiPXdICCQIlw1f0oaZCt7WHqN5Yw1AATTB
nzqLvm+Jj0eusxXpcGurA4VyJbOl4jW7lqDVDPwDt2V+0C2WwHM/xSxZVk7kaksUw2qDVleiHR+0
KJhAzKoO2CzeCkmEeMuU9gIx7HaK1UOcORi59WxnZtVjQQTCk3CXfLUfe6JfahE/oXx9UHijBPmK
b4peBUnG8vBXDOsLJc01D9b6CFv/WRmGDgz39Kh4QOL4UtRAFMyNMeb3i6IvGw4FPPm16rPolCJI
q/pkLt5NbrJg7OmN990KPynOqc3sztWNM1ELo2Sti9CX6kGUe/upBzOQE+P63kc0oyHQRYi5HX18
efY85DxB0kfURMEVmDobPmtkhEacPb3T78oOVJw1tfV+1khTGZV6Bfb/ZJbKGhYZ7mfYQ3ccsBOU
tQaHj16cU9nzsCgzFb0GSOM5XpFHq+/5LGuWDfXeNI7K8pmrDc2gcXupWOwZy5yFSQKVn2mOEfOT
dQ01iY752a7qN6/zrtVJnGuOqHIk9a1OSSi5YV5aiuaSgJwWJuf+dDm41crZme7sFuQuzyiO1W5n
Bq27fOpd+4od82qq+jtRK6celPg2Lftw5fHMEW8OqHPAdFpOup8NuTTXJLQg9v1nLcsRxExKkB6I
72nTvjKRwu2ocBLr1QzrcnJtqlvJAXFGcQORmS8uLCG8QfAvRmG/92TQYdVS180N+YqeOuz93TBs
k3U89hEwWbaxFzuZv2epBXXIzGmMbjqxqWNE3s5s9jY9VZAUsa0l831vNeyw0QfFjFIIyhDvV2m1
fOgqPhKufaKNOttUc3SuBEdvc4jmwMHmGwGtrmrv3ovMvTEvbmCXnImGRVyiGh001ppt3LviBZgb
nTosYxWMjAGBRj7YVvbMpq7HcTflW26rsDD15G0uK9sfzHQ7TuWRG/plMatx34AQhYY33HH44kDC
fni0OGzTTiNtxAaxY3bYkQv7I7LNIG8EuM/xjjrGkoZraihSgwQbJKdNGQu+dhzvLTtz92s5vIHN
kHGLFod6CQXEzhqFMm7lkxYonhdJm1KvqNyVS/VmG3y2GwHeH4eQEog5jmUdRXlW8cFDl2peNCJh
QY8wgeWWhKOho1UCiqdXgXs2JWzqNkvVfiv66m3w0ueKNFqAi3C7kK73Nd5yuCQwtCckHHa2arwl
/8JrOqb0YBrT3otNlHWQi3xoLLyP5viYLLTP8kwM+oz5NrWAtFiOhaaikI8YXFKhCGRcsXSNXtfK
CvHRzE4LtQsybU0oTJ0mMKOAPvtl19IvYlUSt1F/zHJc7szsBT2W41mrcOkN5TU09ObsWOsJYjpn
XxhZLHkPxPZaJGtd1jyq1UsjMnHo1ubR0Pngi9J4VuBO9mn/Y2rE1ouyRx72Kg0gYPp4/kMTiW+c
tHkgdrg3FADKDmBFaZ8b/MWkARKl3IHe5lejCZSwRTrRHeed2m0lLMiyB01Vr9ulci9aVDQby0rA
A644OOoaaY6Wp+igtst3W+Fi6JNR3+a5+0DEE5EnUo5pHH9vmVwhsCNyZPWuaiq+3qlvid5qPkpd
vFE0673OZtpP+/QbEC4gnY19qw72U2Xau6gW836Njc9MnRzusSQKdL1NNu5cJluboCITBV0uarVw
+WVa72vpwmy7at9sgkGoGOlmrXljiUF0YbKAMc/gKgW2kn1XKZ2BxJgEPfXlQTNSmzIKXuq+3dFA
NQSDYYEJVf+XvfPojttIo+gvgg5iAdh2o3NkFKkNDkWRyDnj188temRL1ox9vPdmFiNTTXU3qr7w
3n3JNg7YMkYONEu11VmL6ESLg4Mht8J1vuFsHkl/ZWnTa2SOFhkrvEIFAMmkilNVfM6cgOo78JmO
Vsp9WA8PtYuULo/cZTGkOAs0Rqud07KYKlCnmOEdeaTY69N21wGxXGaq+2Dm3TVIB5nI0CKoI5sd
BSHPk9G36zEgMkxP8p1C5cQDGavLQW++lkF2HYFhBrxbXCHxthKgjOYqehvQeyileBeqcq+gTfDs
TApE3OTdltIOtEev/VQfXG5ycset16a3N5XT1V4eaHs/N3IPVqe5HEXyOcgy4AhjrS8dJHHgeNbw
eVQnOFIYmJhH0O5rXbwvJci3BLN21qNi51c1f+YkzwELWpix8b1W02CVnXJrZ65Y6FmxM93h80jN
BSt4RjFTFvmqanE1TFYX4FSt+Odg/l04Q22uisI8OIgqHGeiibOJ0+G5exc6dA2+M+OKydBa7Tvy
pHl08RnfpAEzRL4LJ0NE7Sq3YpwISXknIj4jdtPEgoQj53QN7t6sYWUKc6857WucoRJBpPu5GqG/
ZZ36MKfRfpzSe508JG9oOFJt9WvfIxhyYHws3BbQLwkLxxKMR66OkPImtK1uic+zFfGbS20c9gwa
SSJ6m7N6T3QxgCCkxrqeP0Xgg3GJPpQ9sqCGKs9OOPqId4I8jCN9U6QRv2Rnb9SxfhchJZ1djM9G
Rs1Hv7eM0viJPfHOx6YE8fPFd5KvcdtdTBPXctRqXpCNEMdybkqj2k6VfTuGTAMtmYFXFXdj425L
0925qKwrNb62s7FEc4Wf2AhXoZ+uYEUc6xF4XkTynQVeat/ERIpXga0nN2k+i6epiIRzrhSr5/+w
WlwqE4OfziqVf3Nef9sMSJ/A/+9BJcH89NK+/Y/NgPzBH7pQFVuBQF8nvQWCP/odFqF/snRNQ3CB
vMOyJZvi+2aAWG7VId4R24PK8N7ip77rH/E+fOzevkMm/pH+UbaZf+yXaLMZY4MM1QGXAu1jHP1z
G9p0Q1dlGMKo+691YMLSsb0f3pTrr+oSftMfXoGpvUpLzTbS4l+Iq1XaQn5sdKHsJEZnd92FC5eQ
5kdFvbjWDQp2zb8O/bnR/m4NK+U3f/mK8jf6obXWR6eOZhqcS8yZxqBW6tOmD61aIWVrQ104kMis
8iykqK0RaxFPFduK0bdWbdaC8JQiOLR2+k7IHIOpKk1Pa1BzGk54tIr0MXd0eKm1+q1XkncwRU/5
nF0LouI4A/BuxAHUDDhadPJ66KxqMH0YGaMA1ZvYNFMarS3LNtZBGRUbfxoxlpJou7DrDun1jLGW
vMo7ZSBoqYtuQXkcXIuSxo4oMCufTwlCT0aEIzrR1jMnBNhiuPGlTd9XgEsU2rUPSRFzxC5Xuwjc
WnAgyBqfufJQKwB6+vxLPxvX0Q63vT03K40FQdSaOBCcfRiB82J9MayVsm42aMtPRWfPd3Yr02Pr
jyTZQobKCtJlYxkzyyqFxFnueP6PLuNEuqSBeWzpxc95NuM+bVo6H0zuX9HbHYUYTijfj6Ud7cZk
ONWuf1bU5DzN4rOWcvlUtJ7Mddn469GraanfUmA/q8EyT8AB9r70/SflsfWHVddNO6LPrupcLbFy
eNE4HYdpPHYOuSbtTHh2YA2Hplc/V52+AmXLxZXPDxaVLXaXKTlHXX7Nk5blyHBO5oTAj8RejCVb
oaQlTqQauRSbnsYGZhH7EPuhaic0CgqVq56V3a7rhnaT+npz40TVdMT7A6KA4UKaAQUfLmbo3DYd
0mFgG4gZwnqtldneT6MrUNm7oc/XocLHQgTWyonYwmXtNzvsEG6K+Aa84crtEPuEo+a5uvBMfItt
x5BRikXFYG6Gul+rcKlawZ5IU72iKO7m3LxmfkXs3Yhztk2T/nacwlshhSlYT1FmPpmIREasE/el
qhjLOKrfcyJCM9/dGAPTi9lPFwzTllrSv6lDcMgZi2DNBUliuzs9i8nrMaIViWLE8gTXMOpPpkUp
YGWbUbVWqZ2j6fUPTVNsKWQBZbYerecZKI6nD8qOg+JmcgKoJRGceLQS68o1Hs26Weo8IcsqyYdF
bqXTNsF4Cm0hX5dgxJmGKfukme+bcggRjrSw14u7uFc9gP98rX0iWjpHh0Mcv8S2cyqo0Kl1h2Q5
NKCQ/WbIlpbfO9uPY+3fwauGROL/X3qEFOGB/tb+OnmVP/f7nWd8YmPN52mwE0e4gN7w9zvPJHmK
sStNkPHfOI8/hq8SGksoFdEdtsO1+PudBytBVWXSpvxbf7sO/8Hw9c+7cJN5q+O6XMp0mKzq/3Q/
MHgYWPJZw7VT90GMQxwp+OaHN+V/XHq/aTP/uFileoW7FfY3MDxdBiFzt/94CWksPOI4acqrMaBg
bLCgNGiWQkPPjWuo1hVs6EKMyc38UaWFDHOe6o/azVGtaRkyEtD3DLKWDTVeFY7HiJoPAwx0e4pA
hO3kCaRXn+owLZTdRLWoUDW2KvKtiTpylvVk1GzJFCdRkUqTabrmWdSeSkk4L7VoOiUvCrVpV5Y7
rMRPzKTAjkXhJcDC5OjpzpYlrUZtW1PjlrLYTSvT3kSyAFZQTy1aamK6toQoh/gBJGhlNBhv86dA
qDtVVtJYsPZEIb+ljRuyIcTaN2Vvvqy+nawEcSsr8orSnISkIy7EwXNyuSUa6PFKCvmRgt6Qlb1m
5tgsA05//aGWtb9OE5DIbiCchteG9mCSfUIVl6dcdg5uZRODJ7sJv6jv2CSwHDWBwAa0HJnsPdrG
uKGbC5YzbYkSG+tZ9imUSBju9fYdtiVeYjxkAK4KtLfmwZZ9DldctEhl7yNU7pBS9kNj3OWrqNQZ
OOI/WmDi+6zRPhl8nIuChsoaGApneno/ZC7cGpouRXZf+lDuXK2Nz2k7YFhSkn2jRJB8tYqxF+1b
0L4acbF2aeqibCAGYayapYuX0pedn1855NLTDNayK2xpD2faxDJiIzrQOHa2+erITtKJo3dH9paB
SZdZte49wod3MxqWKm1oVFnDUqMxDWWHqo3OsqBlxYj6VZM9bG22cuCZ79IowR5Hoxs5UjVhoKHj
Th9WqNhdckC7K9u+h152ygotc2iEzOlpooOxrbzCDjouZ3a6JpbrHjo6ERMp70N8pzPFY0+K7d7t
PyfqDLNhEu9x7H6xtERyeFD9GWMCQAcT7CnPmAxQ+JRLzpUHkHl3uWmVwHCNS5DathcWIXfSOH7p
45Rvz1ABUMJwsmBb8JwI/170zEd77LYmFJF1X6sPSZA+NIxewXc4uP2C9pTZynurOM+gIFj0JYzH
DQb13sj6ZMblIgrMwAZYvvJDOziYdeVvS94NFxFydW8Fw7zAhc+33E2ThwR05s6ax/jKYO2+qnT4
5OUb2Q27KClT6FjlN62tqpayLmBv6iCtHdpDxyDys2m2Xir8dNmIx9xdjZspnOJjBmc5UpTbuotd
SaFPK8z+TIi8HiyXYo8M/F1ibZvUshYz39/AKNFlGieTxLylXRO8DW2h5NmUEKhzU9hPoWO9RSrj
WI61CpmHts4w3/XhdCDq4EUZGf22WIus7jkgkFieObd1rq3gUt0WGhEZmnILFYEQ9uAR1/Fz47AX
0tSDOwQSWXydyM+eG3ZBXbKE+Pqt6xXaZzv2kqZNVpj9mWTCQ2hqbJCOhVWkP9tEgNVVwrIJzQul
6MCECllO7CiUtsplauvHLHKTFTXXWwPHV6/Gz0rzZnV8E3thrw0TysjSJ3MMEYo/EHCAd1BRVmo/
2Y920I+bqmJWEgfgwSynbMtzAiguK0zQUzMw3D4PVKbR0jqaFGY54TuaIWdORb10UqQwjpE9JlWz
rtvhaRjSx6ZSnlG3GDdqZ81XLrxqXafVS6Vru7A2vo2+c6lmaL6pG0jOBNqoZNY8vOQOGwe6gGzO
8N5mznQKsvCOYd3XWCe3eUi69FDPk00QQYtkNGecZbbhc67zKQ7hfRQVsecayr7rm6dOK+Y7/OvZ
2pcy4JLfD34Fd8/STTgDOiUVXtOV80WB2HcvYmPyJmKBVkENRJinvPnsuw2GltbOtjzNjleldBWi
77e9xirJ16H6GCQwb4ZcDUkCIBYxaEkGVdLI2g6pq8n4zyv8utvGBEUptE3cy/ACxYdgzchuFto9
wp+nWhvvAqsWOyT6T4XL7NgMZv/819fur2pJFWU0azfh4A8Et/jzpSvSrtQdvequhQMjS7vEzr3g
t7agW8R/Jx39uYqQFzwaF6EZmiQRkFAmu9AfukyKXALmh2a4Oj6BTY8Vxjflb9Sff/cS8s9/eAlS
L9N06NLhWvJgglJnWvXFLO/++j37ny/iEkJiU1tpuqy6fnyRJkwSdiPDcDXq+6o4Ek6s9Lu/folf
Pxbeqh9eQiqKf/h30LgwgzXH4Wo6dxnGNYC2VCG5/RJPf/NKcpjwc9X18yvJ3+SHVyLe2MoEALxr
Req1lmMT1vdddhr6VZ/t52z+G4nyr1JoTa7wLTCgqAVYyvz8cm0Qj3PdagNIkycNC6Et7oPwMGVP
H+/fv70G9qi/6DVOb/Xr27dfOw35U793GnQGFqU2/QT0DjgiP3Qa2ieQHsJ0LQioUtXx43RN0JQw
+nI1+Gu67AC+T9fEJ5oMg4GcYVC848z5JwYuMCU/fSGZejlgSqSO10blAf/kT6J8Q9EH7vkkuSAQ
a+u920YItKI+MxVSSwiiw51fZxOJmnF1o8mFlp6RaJNtx91O9WGn5R+lEOIC5zGcuAvLqL/nQKoP
KriS8MnnG0ieTp5IRZO+JOPnMiWYXSyg0dtSt4hEGLLbIpkuo5L2CAf0F7A8jNnr5FCq8zUXuF9s
v35EWbLhmJ7XnTM+zurwTeCQRXLPX2DM5TYYrTUix4JxjnvD1x73cy1j+DL0d0Q38ji3CR6q7KqY
BktXdWqlUefiFP4N9jB4qVInGgioWGPtbHtRwkhO2H4J/dksAVMOxQQpNZ5TCHJVv2KMGG+RBqYr
t2YjaRW+WGVV+NQRMODlVplAewNRMJcqjMwQc2+nGOBQBtGG2xApBaj7EtndgqCZaTGmSroNQxUD
hknifKNp6UGt8uDWbu3xs+hryWXmaGjGyLpEjk6UkRZp52ky6V5M/RrmReHlDTWSqNjwU6I167DI
UBHCF6AZiR2u0KrdkkI2e1MIw3nqNTD3FK/NPtZqcJ1daxycssadmrkTGtaGyVm0N21FEBuSNEqy
1ocECaKdaF+1yjC9jsGlXcXxKUTfRgg3qwhy7sOc/TzX5lolXNeMXfhMH7wqo07e0qL7TOrdsVDV
wMsgzaRtgtkG9kztKqdGwmhCqDRWmbJoQMYMrUZXkmM8ECxRwbExJNCmlWQbRD7Y3ZjejSQRh62d
XK14YmdOiKsRnzMrjOcTaHgS8ZJhlZRyKGQS90G4+a7LoKZSMOeAanRnlc3B6zzilPJByFEXSzUn
jDxkRjku4Np6hcJaw9ZUE4QmbeMZ4bjqtJaFGL73sR29qSUfMOph4pJLgWfZN8+tGDKPHrnYKgEb
UJZdqzHiv4z5e0PNXdnoOJeJKgMSLEKtwKL0FNBR76mjynJ3IEkQESrY9ASxoNoeBFaWZWul+ipK
kXiomf5FjBr4i6m4oyuM0Ley9/PzxsYeTOBg5GBup+9fNLb9lvnBN/S/KQrclCX1RCmrxNcOTQTf
AX2lqZ29BIiWrQqtRu1cDO7a4auPZI2CUK3bwPOJS8QpieuYAOMYIvIeBUlx/+/98eEB1v5SJAgS
/q2OXtJfbxD5c99vEI2BlPRrId6lw8dm+8cNoglWLQhkKCY/uNz81Pf9DAMuw2BFQ8oQtR8Uzz9u
EP0TbmLLwRrMlEmYaAj/waxK++BP/FHSWDhK2JzoRClR1cqx1Z/qTDtkEToq1XQajRIksMYY3T6V
Nkbad3Wec4tWvVVbukMjUu15W4gkYZTrMwFd4StJbn09lJMVf9jWWm9PkmLwGqhNsyxc/wXX7h0n
aXbl1ghZ2wt9jWaSZEtTbU6FEO9hydmTZPj8tRzuI5mrxspuYCzzHNocgJp1nLsm2yk52QBQb4gP
YTON7zJmCXLmfDboRtwjKtrkgN4295jiTuvaYhrCtcjyE0fsEgNuvcAM4Z7NftonVnR0itY/gJpJ
1oni4q5C6Q1nSBfsfcl1Wo+uHXpGSxtXMSNgXG2XXjXSUbEnx6BpKs8p1X8pxnzPTP1eE6FKs2xy
jEeM1AJ3Us51LF6HnEaxKmxtU1jx+xzHX+whQutt9lq2G3zCyUsG7w8gLn3W0eEpaAwWrmH81gaz
/szYRL2Zkbuse5FWnt2kiNQnGaEJPYosXMXXVmJQlT03nHq0kE5tolBHbFB34ljb9o0D7fmOSRpp
k9O9UnJkFWZublSnuLEFZGAMxaDOWSky3mAKOCc2SAR1gDg6JcpRCzsJX6hD67kvg13pq0ZyaP1J
azdQJSfGLHNdi/oS8tn1AE+j06Qx8+GsYXZfYYJQOddQ/5Dg7bjAG3QuS2tXtpNMVO3SaAeXdN7X
fe5eIsTx1aKYHXYo5NcY/sX1kaaEEXm8veYmR71wPS3I5jvyQrXR+/f0+ji9TFqt/z9pv4uaBHlr
9+vpJX/u++mla1LjTA9KEDauL2mS/H3SbnyyOZ5QolLM4j7jj75P2iXAwOXMw1cGlUeTAQb/rX+Z
tH8UxLTRkgcgq+Z/cnrZcsz94+lF1em4xBpISoLgV6E+/7Eh0/yu6ZJaFNexVu113iNyMpG5LTAj
bUO77ih6JjR1cDsv/CPUg5pmKNMEJoldKuVWUeY3J/gIcB0No7qL0YVurbFrzkPil99K+OcbW8q/
wtSeAMFAal2WbN/g8WjKeG14dC+UUeazoop2rfnk2S0h2abenPv5OQlK95ujIMMbU+sSaBr6Wsqg
zeyI7AGlm/Wc9mBwBt3qTm0Tkm/VyfwYu6Ng06ypeDQ6ldWe0ehvBVklT5aa5tvAIoM6L/3mpSel
YRWqTrSya3fY2PHAcDbsy5tBahE7dNLshEsGeJrZX0IFc9trAR/VPGgI76Zx3RZJt9HmtlPezMCN
wzNQg67CI9TkNU6wUmZIaWN4F8Yua24MuNVibo3ZHs481ggN1cCExbMu0sGxKYd63HEe8V9pdBBK
TmEcden0Ne71KlvpVCYuG/BnMaTGC6MGq1igSM3XQSis/dQR0Qz7eX4xLAtRUK5H6iGQXn8yoVw0
Yn3wlW9StFTzeX7xm3B+o6x6Qle3zoNor0hHVaYJIjYthLFsIAJIL1oHAHhylEOgEU6ZSB6C1WL9
WIxZwaQwGoJo3TD/Ys/dZzQ+SfXZtCNoRa72YCRVSF5ONS3AKPYLvCztVsSNuHPCMtu1Sus+lGol
zqOLhhZQmasu9NZCRNmo2VtDCtVXxR6UvZG2GNbAS8eOpnh1y4CwV0AjrZi80GiMfkTwt1I0u6n0
81tu/WZnMan+Esya7c0uaw/SJuKjHSM7bJQqfoZqXBDzZ0/HJpmL57kblQNfXkm0yIcLN6L/5MzZ
8JBL9Rr0Vdb80VheQ6l7y13DJl0PKXFDxplJKHrshu2qGa2GtNRpQEpGtvdW7/U3V/REjht7exyM
G4BVTrBQC6G9lVIrWMnlqls2dGYDteq/Z/FvlSQH0/8/i3coYH89h+Va8/s5rFmfBJ0+FBXTsQ3V
ZNjw/RzWiL10VQ5A4GL2B8z9+zls2JSepqvbwmbcgNuE2u77HML6hPjH/h6vKQ/Of3IOi5997pz0
RM/IQ5hSllEVVPmfz2EjTEst6DFgZIkI1wXiNW8sMvZCN8Al5p7dghv6s1iZYa+G+JZ6ejssCrqG
j0mfsASYUwQ+r5JShwv+UXS4C6fjecZBiZEFerCVhsZGs9nUUKWYadTcEJPF6eIpvlvkABMhJV3R
Abl17tlq2RMJZ1lDg4ycJ6d5sWfSSWZ0eUSaqMtxrOE1sVQL603clC4mCDXcBYDmUb0M5gOqWLyQ
mMCqrgAhbyYxa8Jq6A/cqNNad6L8bKdJd6uJZPiq5pZVYtMNg6+9WY/rlFPgSB5iwVqq8M+xYplr
LJvhlqQfPP8O+DVmMToJll0xnKCbDmcNh5pX++V7MThAq7BF1C8gjZtl2po6gkDfwu5oxe09/oxs
yTtovTpz6m76MB3Y5qE4wV23SZmO3BLqRcCeEcB/69TR9BwNaLHVtgqeXXU617iZ1wm65rVZaiVh
jA02Xlapxlc+pnZb+SoeMq2Ee+O6of6F4cx8DWdIsqDtO/1rwr7n0FVNsJuSuHkyrMYgTEIHIVSy
hJihVV66LnnlLc13lSu0O62JVPw36OxP5oAOxSLP9DxlSUDKmhWdrahpNi4M8VU8u84Z/aq1zaqc
7cKEljskbPjVFGN6xNbXPHZZ0a0bSFwYxiP9ZBiazP4Km2Q9uT4r0rESNyz3lDV1aHM1oo9oNLU4
wJnoUY0ke3/KZjgoirOurGl8H0ywq06ZBfuxiGi5rdhWIMUK3D1RA9+nmFLW0C3ldDU5zK8CcNvY
U+bFaNVMY2fd9feklYlHVpSf8YvrR10B9Mev76+VBHoNojCcA3WtXqY5hOXiDPEuiHJMlriQWZ2V
021YO4PXN0O1mqIOMWs/++sGU3vwb5X7m4hSoyT8/yfr4a3+XzGF/MzvJ6tNPy1gXwgb5KMcyP5+
spLDBR1Loz1W6Y0/hr/f+3OOzw+BB3l/ciz844TX5GR1oSEw+xIarJR/1J//WuBiLGSALKe7qDKR
fPx8sNpaGahaOLdnu7HxsuOBxnUd6qlnV6a7sXvnhXnkgEGP4AJtmmNT2WeN002uZ0d6/Ez+X+df
Qr/oqh1R22XGyjJmSFUqVmdfS9bmwzUfynNpJNG9gjbCpd6cbYy1M7ozSExfjNTiEM+nYFOqPud1
wG7Nnxg2ccTr5kwMwMe3tbLIVNiZvpJhsdZaO22esxD3Mum9+HfH2TM60UTNWgeDqe3BWs7FXTDT
aKL48CUHGy7SxjUCgtntPNiMfSuAxQ7xRkkQTw6Vr236RGirYazmjUqA7+MMH0/bJu4k5pXRdFPg
Tbo7j1S++CyYYMgMxRzNfLNTy1mcuqkJYQrrhbiLhJDjMruMVwJvxEaDiNveJUYKSECYZXoZdRHq
m4qyejUh23+aB9PF/4TJGi35GBb2rkpxA6z+LX5+a0T/coz2X9Br+lK//FoDydbx+5NKL6ozEbNh
D32fiX2vgbDi8oyahsMwi4JHPo7fn1RqIMcUxsem5L9rmu81kPjk0Lpi3WX6xab1nwWKgob9cy/q
MBqjITZll+JgG/3zoxpoaVpbxUWHmkVDwPhIG6ZpNY6o8Enw0Jj5JGviB3YA0JD0MKV+zlx7n/XR
2nFbFP/F2eY5jS3lMiv+SjXZ3KQMbY9pZBcX1JSPk4qVDYOB9xEhDUVs1U/Jvaj9S6y2M00MLsq8
iO2bMTBmkiHBlKmrlGzeAkcpjz0uvPMsp9WunFuHfpguAeXli1xtw2XEeHuWc24tmDxkQqvZJ8LY
lbNwMA4ZhZZ5HuWcfOKcWQq3sbxQTtH7Xn1gme/Z8bQa5Jy9xZezFB+zd4bwQk7jSzmXr+SEnihN
QNMfU/s8fnUj11lNcqLfQbiVocM7ZKb+jiwz4j9IyC5yRd2oEq1sSciyL3HLvgQvm3X8EFXUU8iC
IHsH8YVLdSlXCYth5tYVHSbvSgDVrR6EHVxKiXjGCHY0x6haY5vtFvCjOy+XSOjBVKulW8PzTqru
RJAQ5R8R02vCuzZAJfYWbGkiPW/dGBe1P8RoYAZta0sQNW7cb1iDTkE+n2eJqkYfZSy6uH5KoVj7
0oiVwLUG6s8JIlHXQYLATcKvSb9OcC0COislGjvVBSwvcZNIaLbB5p8U9GBVSaD2oBSvlc74T1eb
sw5z24S9DR/4CLH3ghL9YEg4N/nzB3rZiRdtrlUEWABUL+C4nt2XiSWpyYNlA+27qoyTbYELbEnh
wBgFEpxEQC+BEV7HyjWR0HBs1C2oHUDioEdudaGf3DJFPTPhyzQldhxHEiNhiSJPJZQ8TmCzpHDK
m6C5HyW4HDXUKTD9L1MF0jzFcc1gT9CCq48m1PPYqGxPS2MI8Bz0DmT0YCAdHlL6DDG9gpxeS4R6
JmHqfiN2QRURdQ1nve2aS1SgjLkpSDud3xitJFs7yzw3KR/hmFekeFPsRbN5ynH97OPWfS4S9ba1
6m9OSRR9hRVpDtZI8L2yGdiYKuta1Q9FGp6jotiPcXPmbrv2ZKp5AGQ7JNjdsBO+9T4LhRi6eDDM
TdT5Nj1y3s84YOdTUCFmJxpwYOKCwH0wBK9L2G1abwYpgZ/Qwg9o4mvruZES+axzH3LE2Sna+VoH
4ZC1FlNaooCotrsZsnkfseKxuhsOOxSLrYeuoiQWhV2Oj0Yfm9iRvAvsUE57KFDxw7Je+lNwN5cg
BUmlN1B2I/nXa1KlTHJfNm6goXmX1gADj0AqzQKVtA3o0kBAncvctuObk5dsAHNpNEA7dHVwHthm
/l7gRCDqPVmS+Pc458ERCR10PmlbsKSBQZV4X9DHXx0J/HUh/0YSATyp6jWTUOBO4oEJc3qjsgBh
DDm4kwjhTIy3hoQKG9CFtQLKgKk+TVCHHejDrlQYIlJlhmyCJh674HMuYcUsH9alM216KMZqWV9d
qMaqiNezVK5b8I5jG/Ax3de2kChkZs4PToe/WkKSDdIVNdb9m1AClAmmL1elhCpXin4is7242vCW
8SBsRwlgziWK2U51+CzwNRAbEdMHr5l/awTBBPOpG1UvoYQ6txLvLOA84/t8D9zXiN12AwU64T3h
HtDIimSRS57nlTCrtSrR0X4vlXwSJ91LsDQIj01YgZqOJHR6gj4d8ddhoqs8ywr2KXzqMEa3KiSy
2pTwaj5QMNb6eDvmqadlwGWgVGte5+Rb9wN+7dTkWxbj0le8xDEOoSvNWcCy1WaOdhzHuLHhaAfm
uFbC6k4HsC0kaZuBXMfGE/QPk/jXBFopUQHGprYgdPdVxY4CDJWul3cdEG+2OPFSMapNhwbWSsrz
IHnfJeBvLJW3KnAFyDzTmtL7UIAIV0h2ug/nqVsP4MMTt2Pqyp4iQ7WHxx7N8b/11Ec9pf9lPXV6
y78Vr1H+PyZK8gd/r6b0TzQWBt4sBvx/4uabn2BNsnsEISLRJn8oWz6E8pI15xJhTmvzM1GOcdLv
0vp/ME2yhNQ1/THVR/umWjJK0JH+NJINZYv341TfTtvAIeVcuWjsvfENc4mZ85s/EH2WWCkWd0Nd
W1rMgRZk6UaNyvrWrTPlRrd7heA5u8jt2yBwM3JDtMnw8ODWZANH9vQKDwDTPNwnvsOTuYkrqCIN
yHhuJySDjemaGyD+FPn14GxGUHGrvlTcNejyp7xM1NegSnGS6GO5LkLGqQPxJ4SA9gxDC/5bg6YM
r6lef6GE0BbMwh1vRjO2H3J7H8eozwdiVK2QjMCmUzad3n3liFN5sGpSy10Za6v35I9Ppyko3EVm
WytQpf3ZySG7ZnUcrCg/eRgnKgTCLRCzJyNCd+azxoRu1SEwfqH7dbma4aFTgDbXuMGoCjkofe4d
a7rTtM8R+XoLJCHnqApCD/nSTTzDlMBufprUGO38EF3AFL023GYCc9vCbPEXOb01rGxnnDcI6aN9
zrm6sIxoRJbRqKvGqjDdA+YbFs6oFrxnDiqEqFQuaNpBGwUuCqPCwImN5oUJEn1sMd7MTmwDtCCb
a+xVSAhhuHUTJeDEUvmhZJ6jtaJ4OdGpBmi0RRwP+H4oWRm82FK4PJqO1zi2BLsCBSGbnq3IHZKP
ctPHsu7li53v8rrvN1lTRHtfKM4pMhkJLlrXB0XLD+cnrer8G60Ln9MQZXOYi5egzqzFwLYVnbn7
nGhtAC2sfMfynC1bJTjChkfHH0+XVE0KLALZezhbXmUE7WXKzGmZwRqlOnUS4meSQAa07uq+svfc
4Bog3Il9CuJBPcs2Zsj/uLWz1EYLNJ35geUhGG/gF2g/gD11P+jmqZee2gmeskYdbFytD6tHrU6s
2RlFGUu9YZxWxml7rCtXBVpQGxdSa8W6rqzqIEz0RUpREDAsURrO3G0Y135h9eS16gg1TBmbPSHb
BiucQFtbpu+cEwp1JXO/6UpzFHF2U3TdA+6/U1PaOg59pTxPJPXtdNlHoy3ZSsiMLGLSexWOHhfX
W6uMhyi1D5FpH6ewQDgTh5tqnFYCERj/ZsKG8qOVAR7qlYMF6jULnWAZdZZ/yp2SfY4oCVcIgztk
aQEOFQxbcb9NKj4kJ7T3paRsK2QcLvTEeQmALTLajS7Q9FH853gJlbbPWD9XS02kO7e1Vk5dv2S1
gxQMUlrhvAv2SV2brWumHSx/KJMbEKu6ektV6IUguGxGyO4Af5z9EanHFtSNMX1wUvVCZNYDin8i
HRO3EBefJHfSdOd3Woxba+52NjJnI8tWoiUWEYzkwVKSZdz3L6EwNqLuKZIDZOeWc22S/NYp9G9u
wjOcpcZb6063JpsxD8Ya6QtQAhNyl/iMsxhOhQkAIaDF6Ge1JA4ye52n6X6Q30ctiXd1F17nYrxk
OEXsWIZgFFTGBdUHL4+H+ybLx/NERLI+04L6nac4ENPJUkZCv7WFusxKvCcNBYHFPhS1watwiMsj
20rp3GUCDmYqi0teqs4qV4sN03uq4S646m2KiCrYjgQesFs79hT8VJov+CLpjsZlxSOiox70a82D
d7/02/StTt8Kv7sdWZDFjrqdVPwZQ/5k0RU0ZMSC7V3lLbAGX78ggblrWrE2e7JCg/HWHN37NJ51
MGgpXItB3WRmvXR9l2+gT0iErdJNZ+9TFZ054dYTZoUmdDzhjEjLm3BnUDghq31StXY/W86dEOWT
Eza3AVS/LvuWT+VbpaLqTkdtYRvRGknHuvEnDwQd21bi6o3/sHcm23EjWbb9lVo1RyzA0BgwqEE5
4L07SSclUuQEi6Io9H2Pr38biooIkaGUVrxx5CAHqSRBuANm1+49Zx8Alag1il6/FX72VVNaCm11
gRFwwFN3itPv7EahzkvvYrM4tSZ0df5SiRAeiGO59hUOKGq34VW8ahx7o+nNQfc56o/VOij5wMac
YIjKz5lziJehKz7xq4zN6JNt2hgERsYhcpBwcJmbPDd54+ZMOdGJ7GdFUsuDtuzrBLU4m0RY+pxr
4ZwAYpRb0fYPWZc/teRGT6XcS4kFIDR8t2jrXW5DZmc2CjnU2TKPALKtPhR1fFso2tanTIz8js/O
WQfkgMrW5OmU297sL5yWjiVY9F7p7mhU7OzRv/b1eZ8b2aH3tTMRLPYq77AjpNMNMpI9LxgWGvsS
QwXVtfGxtFJvqtXOFY790a+tS1M313lj3nYjSkvmF9SacGeARNDQ6BYL54mCmG56pRIAF5zrZaGa
i09T0h5FbW5LFHpdO7ixPrjNsLSQ8iNH/Y91OR00URwVIBzXiq/6UCkjOPGNMbqzaA+1qnKsH9we
1KyixKA/rI9xm8m9wKiCtrV9hLm2EkYCyglwaqR9sTJ45G31KanDPXr+a9bbaK3WyVYbmqM5wzTV
Upm4s6o9hmZTbhw9+ZDVLWOlMdkmunYTJ6SkJYiV0O7pzJXkzk8sdxBKto5mAgaa2pXBAMF1El6S
xmszzG/GwNrG/ngYIc6UCrmzTfzcMidj5AJuw2/SVdxL7MvBumbo7ypUCEnbkS7IJjESKNsr9pe+
x0scqduglxs8Ouu8wNiXNYh9g3HejFl+hKpzrFvzQwH4fVVDwiKoZdVGCfRZJtswQnnWOXggOa21
goif9jwrw2NTly+dXa+DuEHUmI7n3uhoTKhsf9918X9ggESS8rcKEYk1zANmng7c4bcVYjvUdd1F
uXKtZrsIDGuR3Cr0j35+kWVo+b4M1ZkNaFhJKW2/ia+/U/tHSkZmgaEp16P9uR62Q/c4cr7T6UqE
v7jSjwre76/0bnxa+PBtZp8rCRsVxpJwi8dy3hfWfdw9RUQl/PzGfvjp8TahnjE0jdHC20+PWKLO
9tMiuOmVp7Y7VpCP05efX+JHd0S1TLHMZdDmvLuEb8lRddDK3mAojIdtRx80BeibBduIAaNof+HM
+cEd0XDl0MKYxhCa9e7E0OdWIya1jW6iPFhFegW5eVsmv7gnRkHvn4c3F1n+/bvnofGV1rR8LhLX
JHbXJwQUv0/p/iP7/le3sfz7d1fo27nt65wr1OWZ/peboCmR0S8usvSh3z3Wb27j3VdTJktoRNZE
N6NCn8ikjwF7FU2HfISeazXXomt+ccUf3RZDVgggiMVM+OVvbyuJbJLFCJK+kdWlQq5Ck0D6X3/+
wP3oGkywLXr9PAcoZN9eA9CVYtl9Hd8Q0ITrwZM5Upn0488v8qOPDlku/gAm4gtu5O1FiiGUMopw
XdblY24RssrZg8XAAanbHY0eErR/+fkVl2fq/Zf1/RXffVkkgDt1qU3xjToqq755QPP1i8VAe/vJ
gWwHAi8xzQs0eUsU0LvFpykMAulHLbuJT/Uei63bnQvXXJuX8NZ0sR9vsBNufn5Xby/57YDPwv3X
5/jukohAshFiUHzTW6Sb0NUUzNdEsfv5VX782ZGvpC5uPetbNN93b5M1Mw9qM+hGfkXCpHa0oXD9
/ArLp//+2zHgzwPQIUpQvn+wy0Zgl2/Q5ENWX022oNp8igySZuL4F/fyo0/s+yu9W+A4EUPgk1Z8
o5mvoX0x/btq/sXy9uNLIAUirIk3Sb571CKoHLYBaP0mz69NenMjVFHRWb/Y6n70CvGw/XmVd199
UkOFnQKuEiUvqbLzdWVdG+S/dW7S3ijQ5c1ffEd/uy2BXEqqIBTYihZY79t3FpGGLDNJS7/tt7Ai
B4v439ufPwZ/e9DeXYI22/fLdo7zXLfCKr0ZgMJpCpNoJkT/P5dgwCmRATj02d5eIh5Hsks5ad00
6Ysy760h+sUF/vYocw82El/eExpvCFXfXoClUw7awhmizss60w3jfUT7Ondev93Iv2ZDjafiJ0IU
Co/m7/Pt5Yf+6MiS8QGBxERxAnr0b0oUHc+ThRUYYtfiof1jvG0x3uY/klYpzdJFbfJG4oc2RQoN
3BM2k38k8ZNv31uTnq9O7ATbg0oxhwLx3QKk+XpL3SDNKzoGev1REFnNFDafMg1SrNKR5BGzGp4b
O9E/laBHqi2M2MuCAXJUPc3gBdNOdVup+hYrpdVU+6yoMbTJnpSEDvamvm4a/8CYCAwPo/A5uRRZ
8kAzDGVs+DQyWYaYoF9NVg4QN+egxTCJTLIq/FzIEKwgvEfEbqBAJhUKc9ttYYQkxAgnkzfozV2o
+Z+WI1J4LNSYwLA0zILxPkkhUWdRN3OUrZOy8GgkjpZbkNiZnw1lsnYTuQ2REfkEHqTDWm1JkvPz
vvws4vkp6JlStxbcUq3MNxj8BgCRAItiZRdFDFDHOv+sEhWMMo/D+2xkH6NAeRFnUjrPBefIUZd8
POkMwSD1P2iVfckKde1M/TaeL1prfRzY8S0m8UZOZ+/874v4u9yER/c/v4h3tORf67+/iQY/9ceb
uLgecC1AUsWN9Pv79qfSRPsNAoCG8UrDFcGQ5K9X0SFtmL3TXmxUGl53Vtg/lCZIdDkDqSqsZEYu
i5LsH8xHkNSyFv9VdvAuEgxJjWvSNcOaLNVly/uusOmB7baV4kzXlNvNRlXSfN0wi0ugShPDRgpL
PJrI2k1w5Kafl+dh6O4Av29NOwGbtTRRolA1T2MOnaOPwUN3jXHArwGdYtLRaGmtQxgE7faxr8qL
MNBuWPBajtkUYHCNi0/ODLSLNuFLzswWAtl8yaICU+NQpJ5SEsNOwsr1DDjXzYse8HNJFyQqIJgg
K2EeTAqsm2fikuhKuu8z4GEZbDwVr9EO1AhyVd1v9hpuCAY4Vm66UZncGpr9OiTVXbHAeLOBYCzV
UvbxqIyHgE6gO7dOea121pMQ4tap+C2+lpxBJg4eElqvWeak/uCcVaaelS7S1Rj0FzWZ77Ou/OjE
1TEKmyeWqy05IPyxM1gcImROBkLRFULk81zaX2bQK1hF6Rbboj9Osih4cQdY+DSSV6E1bhzhvyQY
NrAMFBufiBGpVGe0Pp/iiGBHuaRTRmFWrwdz+jxH4kqL4NYMdnkbhQFcU1QR9IR1BkBbpctpA4Rc
z8eC4FaQWGyNrLCy2Ao5blQMHwJ7aac5G62eX2cbG4gp+2OONhUei7RR9tIAzLumRAEQZzC3hxII
MjoQRgoPxAydMTUH4NfKdT8K02umV19aa0a7rSv84Hma8q+dDApPJmbutcZMeLXapgznxY1fTxYw
AjzXKGUuYT0/2xDmVxrjETdMaVfA/TBJ6iO8SLT3cVxcOjUjDckiEYZ4oM1cbcz0m76XiA3NuoxD
8ECWj7Nqs+YY0CDzegWcvG3xuNoNEMUoCdAXTbO6k2kerYusITog8Nt1VDn3pR/fJBnKj6qxjv5g
14hKmtFrzehZnebAbfviWY6gz5tRibxG8ecd8S+Gh6c8Aelt0JUQHf1bbS6J8AgMACTBnfQlzxRD
/x2TmnPrM0nvcmJ1/HFWiHKmyYrVkwjD4cLu9JhL3V/lY2avzcY6ZZbYERdBZnzgXNPMhSevYIqX
obZXl5mNVdLHR9EcruJ0vC5GZV/TgV1NQ/LSxd1DnJFbMw03sdGNi+3tlUXqqhYBlOPBvuoHU13H
Nq17fDr9Cb/3jV7qX2IDwFNThjsd080QO1ejyO+inPQeIDOPadUCSFfMYGObcbwpA5xRrQ9Up6iA
ATJSgyX2Gs89pFjhMw/ADQIzj3xMg3aiE0R3RRigniIWZa2UyUM+FA9avSRn9cZzrcZPuYVZkPjW
dlUWKLERS5yBctzHtXLEFnCgH0+y3GiurRDIPmZIF1kUMeCatsJb9NhWE+6l4lTURBQNkvZwGMhP
LT3ZVRLozq4vpeM1mZPtBvLTV6iDjGuRFDboWpqsX/7dFr9ti8u5/z9vi6fnhEL+ld5SO+2//M9/
/5+4mp/5c1MUv+kcotj4bFCrqs7O9+emqP+GcJoNiXxfFdfvm02RaDihSlo/nMO/la5/bYoWDhSO
M+AzdHVh0P6DTVFfpAfvNkVKY4pUm4Me9sP3eY5YeJHkVrl5nfRpcMS9X/l345jAEAX0n2wHA1ne
JMmgqiBJ8SSne6MGUWZ2irlj3lnss0mAciFflVkz5sDNuCQIGNKENJdp6K1Azg2IMHkm84PixOZZ
zmSejqm6sTJSucAWbZzZfjXjHkTSNGC+94lBcC2ixPNxOMZ5ulFsukXosrvbtm/2oh+tp5Se/KqJ
Q2c9aBSKarGbQWsNIritNOSJqjXNXiPggOVZvWtn7cppnFfpd5dIt69nYjnofdxFNuimovmkBHZ5
ZGJ+rEICiEMj2mvOgBAxcLEh3mXC/BhE9riigAkxtegl9ozgkc7dXrfLdaz6j7qTPnehrsEXYEiU
tP1A5nDE32xIxJMw1eq6ROtVOMdqUX4ltTgmTXpVpcwCmTmeq4wFIWyvW6LLWj5oINkFyyig/Mkv
D5lMpJsV7c50bI+1GXmGYG6PpGydCCB/pa55upwOs698suvwMg0Mp8I2hpTObKOSzUxxzOnAzolk
1nyQ5NQoWGIeE+TpGD9oW+n1vAmmlBzgMnxpsr52p1IzvVybtsT8HVKs3lu0bFd5Sa760KahxxbM
FhIaa73+ihFR3VmJ5axREuILN9EmSu0rE3KGr45zXS0GyTmC/NXL6oNd28pJcdId0XxQx5ud00Pn
MPrCjdtSumYAN4UggulpyueDHRhfJHaZdYzxjkn+/EhZdTAD42lU50sFPKuvtceh9OHgtuFXIqqn
DVm8RGY1UDEk1NKGAWZtaA0S/uF1tNnJYeuz4ZbBJhbdC2gQlmhT38g+eZkoVIsVYl6C2sgK+NzT
IzthiGKpzxirbVuQkshXTDQw3L+1y6YlMMU3Iya9fVbjdW2/KSsyVgOPvi56i2qRXiTLJz7nzIQi
n1xSlpON802u4S/KDU5X4W5CzDHzMsBiRd+RKPZwKZdygBPcQddj3cVsutIXXci8KETigIqQYUGx
1nnaYAAvUpJEm9S1sehLoOahNKnQb9iL+kQuOpQiilowlARKqH2/GdrsBQ/kddWTds0iddY7NJ4S
YcvUyMBr0viqskpajNoDvrLprtaU5BHSCfiWigQuJpCetmhm7JYHsrb0ZJ0zjO8NlD3jorHRcYmt
kH7z3AhHoa+MFkcbuv4qM4z1uOh0oMCcE4Q7yaLg6RYtT5cCwhNR87lG5qPpMDl6hD/skjqgTvug
oGM/aIs6qPimEwJM+SQW7ZCZAxbrFj2RsZwf80VjFCGdBpeM7mhuZ/Wl0sSnOMt8FJL8f4dFp0Rg
A6tSkprbIlv0TEqsYpaogPMvGicMTRl+aP9I3M02HYariDcKF2l3gPByCQfuWlXMjRYUR8RSWxzR
7bpwGFjHc43HyrHdMZRofe2ObwiCTonfqo3DaZPl2SU0I4OYTknYgW0e7QB8/1Cq28hMHtW+3nZK
czcnhCkhjKdCJrc5pyhvupoUIwTfbiRr7L3lzuoaBmt+CM+36DzC+3hh4fSJsz1mH5hLpifCX27w
BTPwN4iRywpUiAH1J564BzoCm8Eoj3BsXsdCIKstskObDLiptHErLePu3wrh9wqBLfU/Vwjn5y+v
P7JoLFmvf9QItLBQDmLCgK5LVLTJEfjPGkH9DdAI9lVYZhzBloHgHz0sYPQSO5UN8oT+Jofnvw7O
4LKW2gAqEkQt3op/VCMALnhfI9j0NiHmEmANj85+P5VUVLr1CHIDNDvZRk7kCLXNgvKZ6isi4x/K
RMGv3TreHE0HiVtwm2fBGfTRjqSWV0PpYV87tEZR57uoz48jjJPVTHJZzkTD04heyiPC3FtSzWDQ
pvfErHIojhxnTXX+onWkPbV2d9V2BO9o/aOVoh6Jk7VJLiVW9/DJcjg+90NwX3Mg2eV+cgyywXel
v8S2tFqx6broqmAuDYlAPKLmzb0qMhZ2gdF4g2IhEmn9r/3QvOLastDJgc6yC8wMWU0Jn4TYQvJn
6Fv3CqoYjtZB7zLfn9eJgsXBUgiOt0I+AQQjCHOLz5wVXkJZw2RCnlMP3GJXN8m6KbUbJdW9GO0F
jvAjwVY0rGpT9ZpIAHNiVpXr4yqK0tYdbLJVUiQ8W4xVPQOs4cVvYnyt2oKOD20sFqFJM06NPyAb
uqERx8FKBfXS6Kk8QbW9azLfyzLt0uRDvYlTAx+KMx/D1DmE7Xgsi1B15RACQG77faCVix6N1Yqm
WbEqOlPZKFFjew5ZoR+bpEAcDUkBIKqMKRBa/cBsPN5ABfiiAIo4BH2I1DSHcNVksb3VyY/jgKif
rErbV4Zdsmj5/mVSFmpa1TobFHjqykkzhEVKZLk5aaSXwsKasfBQI7kp4uppwn22bQIdFk0ZZpsk
YJ5blsZG0tLDL9dPOyv3N21QAYGVOSaKIHtpnTBzNSmX2HojW6f5OHpj5j+lEidCwGw4SsrJ45dO
Hl5kcpHy0VPnfh35Go4gZuEHIarbxIdiIykyPdpBPJAdzVu1MfRdLabMDbr5patVzCdN5wA4MzgE
Jjmsc7+QSCpE782TfaYMcTx7tF7rkmDP2tGu8gFPgd7yKANRG72gj1LOk6RXaYp1l4f6Uy8TwkUJ
wl0hzkx3bTMiwAqGO2WiqQPx/wVNR74aMvrAVNJUF13PY+zIG1+lrKuM1NgpmfnoxOIzAsutRMCy
FmNzVjKFSFjFhiU75Mhqq8/k6k58+RLRWN441oWKsiXLZaaVTt/AjKP1WE/ZSh9e8RU9jAiCN6gF
CzftOO5PdFEmvdVv5JA9DjmSQxTCGodqoldxB98js2ldy2fLGknfswcnAYLfTm6SFKD1OuQgKR3r
CFGSj02GHlhgHcFuw8+wQ1xBZv5hLvzr2sL6MzqN1xX516it4BKH+1zYx94G7tPGx5nYRZFkh1AJ
z2pMlVtMMZrbtDP2WW3cwl3oPY3fu6kI7rP1ZKCNUO0BH4u1lfCHO8GuGYyjqqhfrVZuGvS4LE2k
5pBBcCiU6VmgE11VWkvXi3w9KMi9dYjmdmOPweh3LnaJ9iEPqr7YjGFpzNCiwd/r0D7ui3EcHkdf
lPgO1KavdzpwsqcgKcxD25RpcEM4cGDv6UQaT35gCf8cIxbaZk7Sep3jP2ihYa3NkRAuiEDp2l+g
ewbBUIQ0U0YMPHdrc4Hz8RQ+dka3m+FAAf63duEC8pML0m+gU7hyoPzZ80wnBWAckM3Z5XB3k1pB
8rFb4IBZGbE8JQh2O8iBQS0vNYa3nTKQjozldQeKPHVlKW91p/2STf19tYAIeYu3NmTC2ekgU6nz
jUOKY5dMpluW6rM2so4TVQiLILvVBg38Wus3i2cm4llbKIiqcCcaSPCOUE3luJeSfV4I2qt6/iyL
PlzrAumTtKJTlMSfhT2wGoyfRyk2eTWVq9k2UdUZvIcpKXdSST6o4ynvCy9LdkvOZj5jMoq2Sm8D
jjFJdJvir5YeAhlt94Q0QTZOo7VGeU5LFUN52ldU0dlAZrQ+eqHP6ldnWbDJ9dLGr0d7MhYRJluM
uJNBamWvam42FMNKWNVtFJuOl9by5MPmKxo1coEgoGrgTFKF4soItQzlpbIxa7IUEFXfJwB3iqy6
UqwlKku1HmK7f4nJVN8ikT0O5Vis+rFFdDc/kEi5asvoejKLzBWtdSh9+l5dXG4iZ5EC2k+qbkdb
XQX4ZCkFgQuctXO8+y5x1yjX0ZiZ8k46GI6wJb1avVNvhpnFVsf6FGdYaThUWvwfR4Kc6oPRoiLu
IqRgUS330PNZnznNJv28SpToDs0sslQUfRX/G1iYvlDuE52vWrWrdd0VLctNv8m04DV2nJ1J+nqh
8K9+aX8ln/BL2WjHTITbf+vJ3+tJZvv/uZ48Fc1//W8evKavP5qL8qN/FpU49Ok40Z8RzMPes08Q
raBjY76+DGPEX0Wlgb0FyR5gYB6gb92lP6cx4pt532J0ggUA8cs/SjhaZi3fz2IkVn8GMqpOCUur
5f0sJrYl57Dcia+6bD2bkpT5rVE9fPfB3Pz+2/4r78jwgdLW/M9/A5H+wVUg9JlsXQYiN5OP5/uJ
T+XTrzJnM75qizhKvcJWc17Qmm3X10WyjnWUogWH/pMMbFJSCJt309k/9vRlbtUyvKQR6edmGJ0G
VaWppCmmq9kE+KZapLpqEO4HwLBdj3OvJxis007qPFyaSZyruTiO+AngDhzUOJlWWU9yY6xWDvVz
Su5CZ0J6Es4XbQSRz5bEP7ZQltK0+4oXssZ1almLN6RzaJ7z86MkgWcaWecPgzJnW38YMSIolAux
I0CfdDMIrKTN4Q4K497XHQmBy9SfREbot8LhYhupSWitw64qU+TOVfJAJhHUcTtRp13gMA3Ya3qO
sLzX7StraibOgF0CN9Syw3AF8Em372dRWeRNiHRbK7NlbrVigNDuAnVVZeV2ZtZO/oqGtXJtV0I5
8/tLilv8lgu2vlh2Do6hntXRrIGSknrMWyI670Zy6ICQ2Ddcr9GfzCmQzVFMBcs64RBEq9bmeBNq
yCqqYHKOTm3JA9EGwSOUSOOhlyFsh3QCc9fm7P8AfJnl4Pwc5p0d9rS71KFxPhYF3koLssFa6VTD
E+WIVr2jMKiCYGLgYvZXTtcRHMtnfoL01Tw3dCDHqQ/42PHlOFW0V8gYWEtNZX6e9sPt3NMMUIkh
cgrNuQXMoq044UeePZGQW5RkHY2J4fWFBnUierAzsz/x1fWeVXF4wGMq6FDS8BjTMTpYcxeuJb2U
bdumGtgpXOPkibIzMpXZWnq/G4ycRIVRNJeA7gd2p+zMoOLc102+4aByMQpzb4dd7PlWuuONSbxA
V28aZ7hrNdl/hLNvfyXcg6Zp4lnDaH0tos4zs8ZL/Er7oCrdhtJtA5E2WTtEFiY2rYyRlk5jlV+a
pn3No/p1iqd7xvRerfcHZ8w2LCBAKeetMarnye49SoUd89fTTHZFUPefVbOjt6ls0kGjT1it6m56
yUlTCooXX+00b7BSfTtKQuATs380rehzOlvGmuzK5kBbCxvQMJ9EJvZ6IM5W2eEcSx5Lvj58omz2
tlz7vbUJhL3r1Jmiq1kHmS+oS6qV7gdY8ptc3cd43jxtoksi5Q33eGt24CjHaA5oYvqNa/RqdKbo
SgAGiUub5s15qNpjIEYe5lbbptVI+JTPscLOpqPDS6QWEuld7Y22fbJLHW988aDMwJXZczsRXPKq
PEFOcnvhnLKuv4QOLVRRroVPcR0E40pMCTOcEKlqVzMNDWr1KlGSJzw2TyVVLQxCnNX2Ie60C455
PO4ki6TpmVLQrdJqOs5S7kqFBrPNwaBK5K5zTA/FY7QKqQyneSCIGrdKNef5obULyjesxgpIZm8K
0twzRz3ZVk659RviIuYJItzPV94f8FHRR6vIocgNUhcM4rL+fzdrDyeNo4yVcu6uErGG7TYR5DAl
nEn79NRmGO1k72+CIszgxc6vWlk1l6pK1A8282/it8bbro5P6uh7iSMf1LHdVqH1NSc2jWMg098g
9pmMTuqmmBfXjR+5hW827oA7ZGVU8K2k3e76ovhcy7lzgUPfC04Aa4ALOgnJRJmkucsIuhn3WknA
WOvnuDfqrTD6m1QQZZ7JL1Oa3RGic+hoKMxNesCYc5JlcbIb4WzbYSoY/kY7MaIFbnokwL5SbEIj
3gY0UbxGbW6NqSPgM7QOaujwXkNpIVCHGWZcjx/jqDdoJdAXF5O4NiKcIJVlQWmNknNfEuPexHsC
t7YmJgovSiuqV8aomASo3OxgAwhpbQbliWNvT1KtuI7S4Zh2GcJAQa5OWczsaw21c32dxOktUQlL
wlyfelauRK5eqhy/6ptIb3ovI19zVYOFMCYDSOoYPTsqBrSeh2nkAbWZDCRJ9SWp1K1WYrEztEcy
P71Mt4BZGLuBdUhvii+FI09qpfZgVpUvvmaB1RBLgC++wQR65F4pl7WsPUXS+iTUdKOqFKo2PeUp
E5obN1MC5Sy41mdT8/IQaINRxjZT5Li7L3R9OKIMqukpDdn+548qSq/3hQiIOKRgmHl123gv46Vb
O0A1y6Irv4s8PT7QQ/qFRPCtBIxfqUtCIRkOmTRsbPu9LVe3wAHbThBcpRbmO+uaA8ouKm/rAR9Y
DcndwrYfr39+V8wK39zX36+63Pd3L2BXJm1p6IpyVqf8zqT7yHkmv2NX/BQgzlihkI6JjTYfLF/f
98zoXY4eMW/FULgqebRuXs+fCkWeyCBUXagCm9QZtM92aEgPbfBHy84GAoyno0yNR8tPxoOW6haK
lDkv1t0s87UNCdLTSlJVSFKe9t0o9c9FHrcbpnv6Ooqil5RndV2pVuixAk/0+DDT9Z1z1xnpzASE
c2rQi30WEM01tV/olu/YlD40db2xmgEBNCF3OlgAJnBUKOmQ5yQUd6pLcibN9QHnoYzGWxHm8IUj
tCB6YK1Mhxydpv9aNZg6mzLa14ayY172YZyJ+FGTg9kWTJISirXI1yGwtRHc087cJ3N8ZGTm5ZMv
PD2lgaX7Caus+tAvnYIozs52OG7zelj3/swTDNG8DTKanqVXxFiqyzm2vTr1z2Vlk4Eod1phza4d
jHfwnijgSuVD1yYMDPRWdWfZbpVyMUJ1xbMVVOdazS4VGCoAau2q0Q44yNC1m/pOMnXxSk37mE/h
bvTpePV1d1Va7JFxae7r2njF8NW5Pm6yyjS2QWmc5JC6v3jcfvWML4X4d0/bYFBiiJmnLT7lN8GV
sqmO1T3I1r25s042W4/7IoYV05tz/jQcf35xgEPfv8J/POqoGBGAisXX9PbicKjsPCFW+QyrdJWf
hFtu0GFrR+VBbhBQfLxW3NNDv46ZLz/zX+nVdFJXh2jjX+lYv37x17w92Pz+x+h083E+WRyj3lus
JnWgu6AtWFj1ptQhpqoPdb/7+R2/XbP+fo2lX//dp00SRaeEIeiVonoN6p0zXX7++394D/gMkMca
3xBPb39/Nloz00mcoIVyU+EKrk1qzt9XqH8FzQvA6j8f38/PJNv9QDHCD/1xcIfKhWCZoztPz+LK
4p/+nAahGBHQQi2ME4gmlySlP6ZB9m+6UNGRIM1z/k9n8odiRP62hCriEdbZgQwOw/9EMYL8483r
tsgooVOj5BSIrqFUL9zr758+8BOmZSnqfK1n4X0FrRf54wQMq6xY7+dsY1cWTs5ib04Km4pzT0wV
I+eOLDRyzD/EtnHWi3afxfGayC2/8aTMmJNHVMMfUyJx14VQL4GSY6qhjwm0OY2Vz4LhpACxo/fh
UQKyGsm4U33oMTLeNS1VdYYE7KIyePaKzrobkmVt7ScyjeGejrnulSH549VYfJgm5b4w8486E42V
KmipqjXjAWW6DiP7QDwJYSHNSz3rkFkIjAhirO2xuKGrdy/6JvfClsaY3y5VWk3Iop9/neCFrUKh
bXyDwbmo2d0gzFy3tfZM6Onomb3eeRDov1RDNgMP4MjhjPY6UDHbMojRNgkkWuRfijHthxG2FCP6
o9bJaz2hKaeFx5m8CmiGEolByJkGDWXdlw+h6jwqhgQ9keqXBNFka5KDFsHZrOP5Y1sPm77TyiuN
UN6sLL4KVWNriG6dbhko6YT9Btley6b7pOmOStF/VWsmSqoyoWHT9Q6VAfNnRUnalQ4qqmoUQv5C
y1WmQni+YEcxWXavxQQcaqabgP0XlkFYDG7r1DFbHofkTJ2UtZ0ks5uPQBzwzryEU3DIsZJvWz9G
WgdHgdBmGo76ruvqaz8Fra9TCwCWrStcFBYCuS18BOaBKB/3Ot72pjHPhLgwnyjIhAnzfmNgSU7I
NEtSvF6L+C/Ox+fAQljL73QLACFeQejgQKg8lEblWYV65tZ9S2s04TCALoiYBftMmwztpNp0G9GF
1ikddGSaeX1Hco1xJdqMOb8I6AZIJ/bmutuF/TgTBpgadJGlZzNs21JbtxsM1tZVR+NIKsZeqZp7
Gmo7tRP3Qw/TKAgb1WsbobH3iPhUYiGmYobQGJqE3fh9jDV6jA3CWxR/O+GxvSpHXVyIvWS8lPRb
xyipV4JDlqAcHSvxzDZkoiiZomt8VoOLB28z2fDiWngMcNdT1xzyz+Rsb0QffSoCVJgOQX9ByPcZ
p1N6jbltFY3Z9rtF7Qett3c7CCga4poWkifG0gX5ydj6+zWi1Mc+SQlSvk6zj4nxBSP6Lwv3H1wC
8xjeDpU1klzXdyXHVAZjE0eWcZ00n7vkZio/5M7p2138u0ctp4Wf71Fl0Tz/fZtafu6PbQrRgr4I
FBHms1tBsv5um1J/I3dN/337wkP41y4lf8MIowGjxDMlvvWQ/2wvy99QKrCl0ac1DLkoHf6JrnHp
Yb8513EFtjwdUQV8suUJefsEoqFNhJxFeJ2pqHjOoWjNp1FTQ3tv1nke3BQMug5zV1lPVmgMFFFK
jnRtGLHjwzZp7p3QKO4cJzJnN9a7odjouWwfGr0jPGEhgiHKBftjRMr9KFh8xmA23FRAexOjdWPD
Pe4C7brriZ5Lp+chmJ9F6Bu8abdWY2draMlbkYIhFBNjdy2x1mNP6q9SHzgNwKJrkIXRQGvcQJ2e
k6rm+IJmaUVzCQy99v/YO5MtSY2sW7/KXXdOLQwMAwZ34njfhEff5IQVmRlJ3/c8/f1IqaRUSqV/
6R/XrFRShAcOmB07Z+9v55IeD/lGQHC3ad6PKy1HuW517kEGeKz7gQjUTN2D/rjPIiXWiUk3wx9v
Zuhma7dnX8qrh9I0PkFXNFcFAKJtnsfdChDSvCP2PPPovdLRkNZ9rOxz7zSvRkboi8rTM+GmxCUk
THt9w1nLxoYrXgf1KhtKxyvn5B7vw1Ml5/Ji1j1YjJxZW70oDwlUa1aDXMRqKbrA1qQBO+ZBes4L
RgB2+Qp/tvcaoZfrTq8/5qaekIYtOexNt0+beAdKaC8Ykpa2HTOHdD0pAcihgdkygULQR8w4f5QY
vABo0z7K+V+yHyFfuMVzHiZfmYbdOZIA3jL9IpLwURUtje02lmff8g+I6u6iEn1Hb9mhh7DVXwUg
rIPFa1Sk8j5U6lHW5L9wdvuqivw005ouJ4fWoO7Qi8xtOCZ9ESOwH0857K0WA8JKFvkujTQ6frIj
gU30CN3y51g1dGIwI24ZmG5U2T6QITB42kAVEOrOVlZ2f9MtWgx7aiBv1fLQJip7poU8ruuku5t7
9jLLDG9yIDSrStORlUzdUz3Fn32U7nsVolQnwWtr184LGLNX2w88g4IkzXANj8ufoff32uRsK3++
pknESN7Yuv4tD2txI/vunLrJ7TypT5Fi/J8TkLqtAYCuJFNqwMDTqVU8dsKKz4WBxWLBlIaa86LZ
CGFIoI48EY++p9VLgG5yY5XZ1XTrE9F+t32DFKFdFJ+BLbdQ8D5JcFWhZTxlbRqsVAGlqFfXKSIt
BOXfSXNpE/YVxaPfPCKN/Ky08VKr7gOIzGPT2gfsvee4TzAJhDa2stRtSKbjPvhx9jUVYLnggWKz
G1MUcrm6cvFLBkP4WtVIlIWeXQ1f3HI03lZu8lnTfM9ZginsECFdZma3S0wmk1XKzqzNX0LFcYht
01hpep6eNKJNPSskhM5H4O0B1HwffD/ZtFN6Jxr/NdWKyYOlCzCIVpnrzOc0by+dACzUybdBZe9U
k+B0+NDBuIvLaJ367iEs22uT6jtpyr1ZkrZEyvilo7Zf5dLJt1OS481Z+PoYASYrPLodQXbREmnX
fE+3G3uC7qY573FoEH7nuhVdefLwuiUYL/iekVctcXlVqrdAvvjrgyVMr1xi9Uby9Tj7iZuQF8vj
nlvXfInhs5ZAPqQS48u8hPTVS1wfARvWruUr2AxLmJ9YYv3K7wl/wfe0v34J/mu/ZwDShUmB5xAM
qMXgW/+7TX+fBFscvf7zNv3YFXR0848/b9PLz/2wTWO7g1SAOdaiJ8+/+u00qf9LcRpcvK7L/v1D
FJHpLEFqiyfAgDyBP48t/PfT5M8pnf9gn/6FJvD7IJj+CJWiDiZeLByFxQL4x31a9BYIwiLLrjNP
sskTjRAc1TPP+JwTtt4vj33M8w9gPNmCTKGUFruINyTstANnw7XLm5MLzet4k4amfE94s8D5eKis
L+MszgFv3hwqpL7LyxjawVvD29kvr6nifcV9oTz5/RVeXuZZDCmGPV7wNAkbJj689AVvf/fLMgDd
dVkY3GWJmG3Nq1kzUABuTdaQcCyu5bKolG78OizLTMF641hVtzY6ZgzJshh1qmD3YHmyxhBZzrJk
RcviZU3OuWU1M1nVzGn8mOR8gav4OWXVGyYmocgGdwXrobI4mhaskBYrZbosmW5oPdHoXc9F+2kI
1RbNUQ9eSAOr4Tq3knU3zeBgsw7HAyYmTfiMalmiYzvVVqLWXtxl+S6wcems59jSyGhghTeXpR5q
FL72Zfln5QNuF7ufRju7tdghJMGjN2V1B2V6m7GDTLa42pa77czxfmKHGeM4WpnsOaZAsZxqr730
XxR7kuq6buUu2xQG588R+1a5bGDZspWJMb6Zls2tYpdj+jOum2Xjq+SBkTQ7ITqVAhU822PAPukv
G2a2bJ1T14O8YyaybKoo99N1yz7b8Wf4FcqnZNmC5VDsrIgJRe2AstMnqM/chzgmwTletvBi2cwn
dvXIKU7D4H+VFbpIqPePslD3GpWwp7Xq7C6lQbcUCeFSLkR1eK9RPyCplmdrKSnGKn50/Bx1PaIn
PwPUmnzlIPkcuHq3wupDgcJF7culVHE13yGFZAw8mzrGXAqayPa9tIiSbcl8dqbmseZkp0sofoaZ
bvIOGKDRdB+OZZVruZRMOrVTQQ3lijI9hxbfdrUUWN/DK/NRNCtUDpSIODJWM8GkK1IdygvQ2qeK
as0vO8eTOjUnAll4vYw011mXd6uUOk8vyBAhfGXbUQFGVIJIle9RW0WevRSJmqBczJbCMV9KSHcC
mon171NJdelQZZoWbp7Jmm/0zv/q9xouFSpSt3TuOyrUwYR+K3z/YGN2oJjBMIpZfzsuhW29lLhG
kJCcvpS98VIAa/P0Dp6d3X0pjlO+0VVLvdz22ppgA1IclkJ6KanJD4aWZGSbCboVW/xSd/cU4EQi
vLdLQT72j0kK9Hd0bpOlYqc6l96wVPEm5TxBJ/mqpcAnPmIbftf9RRXotUUL2Fk0AAjpeue+Tkfs
GZsCUeoqQVOzNjT5sQguU127jBjeNxGsxg3iyndw3/upbC2vUMCidRvLIcFR9mqqC6iQFeozm6lL
1TBr9o0A5oqp+Ht6BrUD2ucV//83Ix0n9voUc5GMqGZS7b7q9I8m45GQKouOhW0/lXV10xC2jWdD
fiDHu9rasIVOplaaQZsiH1DRKfivqHrrsy/03Ug9sc74xk9VzkVj+oLD3uZvMkuLbaGxBuN7wtnS
15KiJ9j7hMrsUXW8Vyoqdi5Lo0xIdzQ7elahvMxtSN2CZJf+pLMmmehhiDNaaLK4rRodrbN8LGfW
ykI8iKAyvILzyIpZ+jtcx2OpwqPBxa2HSKe21bsnDRKNx8S82qSYf2hC81DT9Xjr1fxWt9V92Mhg
HwBDQQ7RkXpMVq9su4fSQXdXJ9xfU6M0NYnjHWyogEFWf17mbROrfBG6Vxa6XVABgTRk8zj5w3Ni
tC915YCUT7oX6eKaFQbDd103aME1cb+OHEa9RDhm1PiEnJFlcaib+CEHTzmXXbH2E5xICWIBF7Ou
lbqx57iJsTJLhebIeO7V3dBg0nodopMMzbs8rpDbwirTAByYGbeGLEqVFzcGh3NgT6LZ67H6ECz0
GzG6t32keLXpC8ENndKVreZok9oRrnQp14U7nFGX3veusbdHQqXHaNrMk1hOFqewwK0SBd0LApN4
pVftsWpvejVRqqMnD+zgVk4mtWfhRjujqmOCqKMXYlF2+E8Y6Ggs/7NWX9zJ1lBUdsmWkM94NTP0
ZIbmcLf8bDOUwRF/mkZLzAmx+hSBW62mDicw6ogPJ8rCy5C3THUh5ln2S1xkw65uo4UKXs3TjQjR
T4YN9xm/stoHDiblCMQi69fRb2f3Ksy6uOqzhgu5aeUB1c9NWoeO897JadrNI7ERYYkckc0DaXoV
bDNLXAxGYKxGR4U+gAmRgUdMm9daLc3nyC5ZIfoK1XCj7cNK3kjZBHsGdx/mpH+Ahf/MloMkORzh
bGrrzLHXRqJz6fyNjSmKdTKmXxjX54B6ESPrsYGKAIxyHqjXcMzINxYM6Ycq3FSiKQAnz1vVM3x3
bHUK+LLLz61+FNJfBOd7TRuMG7SXV7Pk3BSh5vSSVH/i62cXF+kHwPVjT/7ztqzGu7oBZejgjyZQ
LN/mI0HNgCBLZALM7Mnbes3bsfbG9MGS01ql1lPmVrdTFYNwnpPDICHcRqD6eU/IURi3oi0f7UJ+
YXG9bd0h99KQR4Cx9L3QanRMpcAFynnSFTD+l8m8PYt9rlo0UXF2tZHToY4Ju03kJtOmHluehyFI
18iRQ4xhzSYbEbyVSjYYnI33uQGcgJ9qZ0cxi7OjbihyX/FHnkc7tQGBaBsR0d4fnDe2li0k33t0
3Cfe3D1NI31VDeFTCbbeQ9B3wfv56CTijKvuBJnvBVbwK2kh7BG5/dIY46UYAdgToKURAS3IDrGC
52zSc1T36WGOjrWsL2MQbMvBIOQ9cjBmlezRmnqiS36ZSWHXczRJ0jpWiUi57WhfR6fbT/XUbvJR
XTJkxJ7KWAi1cKdbkcJbLfdJYZwHfT51tWky6yVkQs2ofYcsuzVJClsHraMhbaqNdR+CgmTmvWRp
MKK3MoJ6ywYhujPX+0ZytsYn/tkmPctzxu7WLoHKu/RVdoHbNOesqifm2ig/lt4Hzv5dkvrazs2G
mJrTb3m5rJSs7UfVakcV2dlOhcUB5yFzz7Q0Y7wuPfG//z2O/WLrNv72OHZB4/Llz2ex5Yd+OIst
kVSwTqSlw4n/8SwGO8WyUeoaTFx/ARL9OtmTguxXG2EK6TjQhJZu6q9HMf4NLVO0OyaMkeVo948G
e3I5af1+EmOuJ3GlEpYohMHv+kVM+8NUuSoqZOBhHN5WHZDlfZUMyMQt+yqMKOSAEGhLNBSwn4Gz
VFfOOnCByJY+cfBjW28dPRPtw6BE4H4bnGZfa7npv6Nmi/XNQKSzdjKwW/lHAcebOCy0Auw6Sc6+
gHklJIVCdMbI2H625jTy0sYlswZlk21i+poUphKaHC7s6HrqyFSI64isURu/BYF9JP+szBGV6L4K
anbdPGsQbVRDWl8DLCFQLU3qrU1Aci3mGUdh+mlJb7WYhPwy9vjvwEAywPnPnYiHIn3/q+CE5af+
/ewDB+LpFXQbAFoCNeDp+60PYfxL6goPIxDKX42Mv0+1l//UWobeSMW/D7z/3Ydw/sUDb+uoC6UB
Q1D+o8A44TCu+OPTj5lyAYLx5IMusvWfJlbSyahPO2O6Om1Q3xLKlN1HorRf6f0aRxgjCNUETiGn
7fUL6Ss+CSR9iMuin59td2gfQr1Id/MsiPHFeQPBpsW1y0O6QX5zk6ahe+lN4Z8tC/ewid9w1eNl
kutubh30pOW41xz3OBozHr42pF9HtNyXCG/XLs4Hf3H90zcvm/FTFobBsagosSQiwLWR64tjzCkp
AaZn16ggyRAV7Gf2sSMal7RibTjlCST5GrE2gC/XpzLQr4nZFRCFEnD7irlHSICkqSCHFC5D1hWo
L7Z3J44/ykkM8q7NszXn6OCbHZdv4Rj4hFz1Hna6Y1zMrjfGeXIwZpfhL5Od20AEr3oyHaPOrLey
zO+sotI3kd5qu1YF83EOOvMYhrq9SQmoolHRHFCZuWtkXJIdLJeb3jD8vRK9s4qsIDlWGQQcv+jv
5ppEzTKFrgJ+Yl5plkWEkkNxFbg3sUkGcj/x7WioY+6jAS1AFglxbUiqAJg2lPDwm2NnxJ+q0h5X
WUp+g+GoeCM4foQ4CVvP77lh2iBq0DPUer4S+1hqq0mrA2+0SERoExjgc1e+90UQX8ZWfmhJoa+h
sxaUtZx6WOk8RKoPyiShxcajn4zjzujTZyMeWvcsXZjYtZFe+0rcFobzrAeN7aUm2TIEdo0MqVZ2
ZW38ks/BAMA23cvgwswbfnmenag7PyxrifNUw0MfIs9vyIP3Ep3jcpZx4AvcfZ4Vu960zvHoXkow
7yELKzkxAQN4X91OPhyhILpmMzAABcjflXgPZmu6WIj1cfI+YaMgiHuUJ+VjS587/1Nm1J/NQVT4
QZ0vo00kgjU90S2n1eFz+i3KBkNwjjvypkqICFrOr90XQmxrD2VwHUJ0Gs/UlSVvRRYlZ6Eqqslu
Sotj6QJ4s0U9ngNoI4f/toW/t4WXbux/XowvRQ6p7WP6i1KEn/ttOdb/hbIHYikEVlZXVs/fl2MK
DrLhWQKVsvTvK/W/l2P1L5dmMiulKX8sREyL8E4C5aHZUIN/J7/9g54wiJuf12I2CpNCxDEXdA4V
zh97wllJAvC0HA0yc+63BGhyvtXtNxukX2F3L/jhnpL5zgf4hyNtYwAA7NrgyV+IgNMyryuBBFbA
AhkMAQ40h+QpW0iCHCHj3QRcULVQKlBREOgU7/WAHGWO70Tj1GBTFjahoYtP2kIrFAu30FwIhoCi
fEzXMd5KuB9+UB/zATB3bIYvGWkFhGa9zSQapKVTc96o3qc4uXND871W4nXsJ8Mj1eLC0bGggZAw
a6liWsrooqys6F8m3fkUYfc7ESTmb8QAP0Uv46ekSz/pkz0feEUPfoO8XDnzfq6MT32T3bg5kBZl
P7j1Lpn1TeUiXLXi4akLozcn0vaDXrw0tRYcbaNcuwRvZXlPYjKK+XQikDC6WSaS1VQvVvvwa0FH
PWhzfLhquHGX4VsRGQdZbMn6WYUTcRjGQ4AOlRNom7xVRlit+BN3TTMzTRP9OpWgL1redlY/gzwC
6a8Kq2n2PTmGnj/Ah/O1s8qKYV+0HMn8qNsMRXxPIPoZ1+m8lVjovT5N91WRfq2h5a9bo2GoWOu7
moOkR8f5dnJcOiJ0h3S/z3dhTu5HRDROmvN5oOwaKwCNY9ef9XkCWKYDmnbmdQHnf1S+uxi5z4jp
r2np3mSlXKvYYu2a4vMQLJupvbatmXVMkiKS6jih82UmEJAM4qmhh46RoI5P7abxwKhkIDhIMJsi
l8iZDBNsa79bpXbAz95uu4bQDoRUHPmnu8FWjWcLhumVCV4mrjxZxfe5yOJ1yJ3TSvPJwk9aZWQ5
67ZyzpUmDqlTXMp4/ITO7Tlsms9IhhHzDJO/npXCoB93Mds9ba4kbg/91BbrHj9XF1Glz2RtLrC8
O7+Rppf0456yvNjWAeZx5rnDKikOphHFdP8Jc0HUxPn+KlmkE7qmlkiJM6ElhmqbEJLUfIjn/BNm
t1MrhksxG/2K0KMjDZizDvnJyLDypHp5cHrnc0y4tRsGAAuABCp02kMTPZSd9gSH/6DnxbFDilwo
dUiAzjA8/ZQ36ZNKKr7UmXRJsz5RkVy6HsEZYR53KQ2U0Y+YMihMvcO+dIuDWIjHk6TKD4+BJMul
nsxTifFhaPRbPZTptpvrtR+0r4NNF7SR8zaq2yvQvoxN2z7WrnFvReUpifq9TKaOK8y6Q9zjv9Dr
S1DapLT0JDiB8SET6qEpmpcgr07+GF+6UK7DYLrP9ZSBPy99koZbZg0vQWLvrKDYZypyDtjXd6of
FkBLezFzd2n2mHeSUBmmc3eZ1qMp0KnQuvoAWehVHxFiO3qarl2jux9C69zV9Jcx90AgnLNXTjx7
u+u9ciLJEIAeoZL5xUzVp9lxd4M2bOjWbNOof8uRozWW/m1uArqBEds9s+dIx4lFr0bLs3sjwoJP
jnZqbJ3CYu0bTfMIIwEbmkpPbsA0x00O0F9b4EjuKQzDq+zTkx9MNN+L4DL48BQiN//cRy1q7jq9
0XR3VxXuTY0lh+H1uM0qXWwiSzxHojuP+PLMREN8GD/Myy1EK/S5BBlUNAEO7wG8nfYy6v2VA8ON
nmC9VvYSkzm8G3R9AVcGgKOqcl213ItaWNu8C6Jd5WSfStO8TG7GJCiq6bPEOwI1h3WjxDPnjmPV
9KswhLHQaHe0S4kQlI92QGsqmj/Hqf0wW21wzq2qhCjo35dZftEWGalf0UWfrU+iVDsS5lfSZDgV
tzjRhno09snIMMIIPpIJhwSAfB2G5XRG5WRshSitrR6ZO6o2JoxpWKL/oautAn3fZN1rM0QPVT6f
py549OtmTy81wFbjPOdDtOOaH4FuvbRV2B9GeZuQnRnrvWfES2s2G3eWLK5DGzxG+tysHdXvNYwR
7ezQdlZ3cyr2deDy1YirVtX5KiSJp++MB+C8HCkEvF+npifeC0hSpro0Kfv9Jm2YBWy6oYqerSxq
WfxJGTRy8lkzJ+23YaVWWUUqWOT0vJ3zuSL+baVqLmmayn09ghwMcvcWJYpDclWfb2YtwsPUV/SR
eyQhfZd97sEWSEXzjh2GcDBUXwRIp97I2IYB2d4nyXE9pugvi97tj8AcMyQs07e8bg4Wb/EqmbCj
mHEtVop51MZK0xfKbYNDkKpJ8EECIcLG1lZZrHBEZMF5oIV5zaE1vMbCZgJHx01jZjVYd80AQ4wW
GECqIZXwZXrU+ZtymClxhXYmV+6I0enWcJKtHOONbQA2rfz7oKpPXWUg9jRzkI4wnHJRvfoDCEaC
ZTa1aPASJOOuk0yRzbb93MedJxLnTfrmpR8IOUPKgfNv2/oWuRrNY4ndCSZa+M7K+gzbeE8q31W3
xg8/Nk+wGSC+hWTgRGbhNRok6Nk62VF2wb9sesrOmP4SrlOSDNSxRdMCIZjpe3qxxbCiuG+bhK5s
Nh/KQJ2tMdrDNl0FSXnIXEwXhZ6sIxstsYrNO3fIHlqk2H0x4eHK88cc44yXaclJj4aDzuzKlcKj
FNoZY3VofZck8fAQ2NUJ8AvjW/OU5uJYm+y0poNJtPzixzOHsOBu9KkUJoKaZj/c1MxqrKr9yEL3
rOW51/DQjZiAOzf9okwdV6mbHwo9uq8N0sSNyHNlPK3MDIrFqD80CcPrNofDi+MZ5AiZyswX/R7x
2iIb7qD3trHYZ53xCnufWaAYtxYYOxMFCqVFtcIYy/AhTV5Ts/MAQYDXqo2Nm9Bf6oIUL1r87Lr+
znTmW73HPp204nEaxNaMy5cCSPHazOhza3301a+LnvPt0G3a0LwZLP3GD0zYc63awHnfSN/exW50
cCPd3QYB1vFk5sxs3bSl4IoHwuWUwcMSFIMF1ceG0QlYb+NPyrkWojjmstvg9FTIyvW7VGrntEVV
rAXmtmlI6POtEPVcQ1pPOKk3ayAGz2WlIdRoPI80otcaSNGRpPlSU2+GEfsMjatXHXfQSlfdNmn6
lAQirtrxxd5dlp5qgbQVbrgPaiCnVplcSkLrkkCbr5pRn0oGc2tDwYGt6uwbOqKGErFCb8Q/TSDB
RV89BNFY7tI5OzBPZD7Sdth9l13bkq8jbYtlmB6s65FgsWqSNyKJbtCAeTKW4cEO5+YMq2+RHJsv
BD0Gx6H279wmfSOAUO6X1x2vMx79nN08qXvzzQnbB6iDd2IYo7Nr5vB8y0NQ6o+kw67mwtJJQOt2
AVHdepacq0DfdbaEcmZl3xAopKzlxiYwncekLY4R5JikV9SZUM4gWr1Ooron93UxL9g3sQggBsbb
1JYT6Mn4uUrdNzma94AUipNlxjmkFIWQupVvc+YeXMyzHjr3fJf3/GKtEttCROgTc4b1cYqEpCH8
EmKSzHTzYRSxwTGirjWa++kkjdhLTKVtDBH55IL/cOK7/TP5gIPdD80slK/4M8hnp2EmaLohrP/j
AcqIdH00jDy6xiUq+vzSoOlwfwW6/cfUnaUj9nu/+N8fogS8MKxXHCX/+CGJD+BAa5roqk8HLb/o
WoiF4bEdHv/+Wv5kdlquxaZjLulQMzj+qTHn67rLKUCncDe+DcWTZv4PmVh/8ftpuqMgR0jO1/Xz
d9W4E3oclaXXfOBB2zs+uujfTt9/cS/+6vczWuQb4ovCFfaTEDmwgQmYVpVdHc4d1q31q0j9P96G
P7nffvp+frrX+NZFqLGUXgHUaJmXoNS019CZxw/EUX9/KX/xUXA78A460kLW7f50K1IngG8xF8lV
j/dYK4AjlzDVJAMwD8jU33/W8mf/9HT94bYsj/gP0whdRFlvkw59LWH9M+rk3NUSfc7Idvv3H/RX
F/Xj/f/ponI7dovO+eWDGIIDCCGGnX1k2YrL/+FZ+4v3klxeoaNzg9lnGEsT+oeLMq3cKNh482tj
bv30vR83lv/l7y/nrx63Hz7i58dtbixqJUvPr7nzHvtvUvtfPM6L64uJFA4063vv5odLiKvUaqVm
5NeYFdAEvDb9LxYvBz8zswA6+zSdF2X/D5+AEoX6XoniOtvvg33TQffS24e//5b+6qbzEDNTkwt2
8WfVIaA4wiScObsS+QgNDUmysO56RFDlGnndP/4sB4SzYQgbjRX9pz9eT+gz2oB7nF/D5Uy9wVsd
AkOoVgU11v33j/rv/GnJTflt0V2/t++/Mrdv3rOP//d/H8L3puU5/pnDvfzUbw1PQc4EQlhkyxbO
1oVh+dv8CVeloi9CjA9Lm7P4i3+fvS7YbstBeSa/j1h/H77SQCWiT7kc4cl2WVwu/6DnaX1/L39f
775PX2nvQPVWFiHejvvTU884lql8WqW3Op5GtPtdsxJyeGYNBDtcadcyJDWNEPoLxDbMFBMD2glT
rjOLZo0m4aPoootruY/MVKn5RMXIwyQhs6EnBvlm76TdVrU+YgyxR9u4ySj5V7Ab1mztb40Fsy+C
XYYnY9OM1TvR8hcKuw8yUzeDa25IKKDSE+WlGuUXNJw7ODw0RpuCYMso6/ZxWe9r1z01ZG0XhrWd
qeqJuwl5q3oK4OLJHvqbwQg72lYy2oWz8Z7W+tbQ9deQanVr+5hqyiqbdrVIA0xsDqBteIzW2PZb
xy9PraHtXZPQzzB+8HtyNWlg4LQvR6S/BIc1QCZR0+u0YaR+YshueLMzoPTJRb7SMvvqmulXxtjl
bjKYEkUBXDTAio91WnxLSyyDej5gvGviS4JaaR0FwKHo/6ZIimwSCMZiQpbkAPycjqHVIosjIo9m
p3bMqI0pMwlzoCGaM8ETvcap0WovQI3BwHU78sTvojHSgCLQEpxQPemz801oOBJZRe/GMM9W0nHf
4ljcT02pYWEpbAxGZkZ313ycs+gNXd56SEmajhxkxGZEV4wmTVzp35b26z5mWLM2om7ahI0KkFSa
tMPDlzDm7w8mKFIzUlBPUV4jPi5XZW7KTYaCtIiTg4ZSdsC9Q5JhRCkvgCVFfI4+NpDH4YIUefgK
0PV+rEl7LZySktuk2g5sXCc5Ac/tBHhmiPm51AQAi1ZU7rKiu0JberGEz31vOoTPY7XSs/INeukZ
s+65jjgyaYFwPEuBN5FGznESbBbnUBM8SguYxizQGrm0HyybmFTm+UET3RC0/lbFFZLDFAMo/U6C
J5DfDPyhQ4+/V6T9vhL6rWGgn7OGbJ8I/1QH3YFC/KnT+l3R5ATrFnSbgYKTroi/qunBzKqBlk0a
6mtH71/nKvpoesPT4nFHpPuEnxSdL7EcFLpc1WTfFtUA7MftH5wk3aLiquabtr/4WrSddPcQjPlV
WPmt0ft76GNXrVPuul+GFUvPo6Nw6opwXhtzTaOUcwIPKEo3pYX+qnIX0Ti/NM+Y+DnKyNAF0T7L
9P5bmIxEH2WmvTHK5VXF9jjGaj0Qym3HYwdyr4q9hRe2E7l1CAXHxJm2XQ1gxgRjmrvjTtPGYAP8
B10dQcggyB1zW0PZDtCiHws/ibdZL792bPBkiCdfC7N/rebuy2wP8aZo6KIG5nA7QSFEfKV6QI6q
3bAc9VAHu5zTIwe69sTaU61jp6SHNFYVpm3Qi1ZOr2ZrdqWynno9cZxdKGtB+4SZYzBUOR5te6zn
jdMFI2irXIPOC8THdPbSASK2qk0SK27oZE7dg/uL0MStNfPUjR1SbStPw9d6lkZ/BXqyLwJ8tmXM
VktYlNxGjJBXkCrfRR3cNz4wfkBrRynzbltr9bhzNHWy7DFa4yiUC4L8S1UUDS0BhfI9lq8JAZmM
hVD9CX1WR7PgYU5ywsL5z9GLW8Wn0pfvYYyaq3VifMlz9a2Fu41dutBXMgc0ouvAKuu2Hj2CvS8T
0NQxcuNtUmoXIqruNL87ZU7xqY+Gb6SEecOISrMRCEmD0mKuYY7HcDpYkCUYb5TvER0fFfnDqgVN
t8FZAb6oHR50I77xG9ot8fSWhsa3Wej8lsD6lvTZc44WXZuPxjTGa2nVcPrr+2Rk6dFDAGRgctNT
GtoXHdHh2h2LxbB4CE3CXwgKUh68MgQ1Rnaj7GReAycINjrUZoMdcz0wNllHY3eZUdS7FupFvoUS
Lgmn6qbAYGRiJ2MiV65tN7Jp5CBdzX3tsU3WsxW8GHUDJlbG/jrUknjtJO7Ahy9qw8Tdm7MrvHkE
+G6CAqB/gsMiG8thYxfDuXQWiYJDwzwQ9pUY9AuuzMwbS//qMrVrsmYfdO27cgcE833yMKVatZmz
BanqsoFYcffkd2S2dgMOD2bRsZbwN3bzawfxndYlvpOknQukyAY+j6L9aFz3iQV6qyOzT7KQ+PLA
3Jtx8VT1EEcjeyS4Rj9Ug3nbO+W9axWfIza6FRqWG0nmEGAG3+tz6e/8WdSepdeMi3q2hBbOmWG5
MASS5OBiBEGtnnuxY1S7xiIbLZLNNYk6EAT2lgSr5z4T+zKpQg+5Cg9gJ8dNopP7owuHET1q0p2G
rtmzGTauFZZx+mhipwycry1fqNeE6VUnHWHl2O2xy5HRV8o92s34lNLa3kwFmyBLFgToOdihhaDh
5yoPAVWABBvPWyCMWyXosmpNuXTp9OwwG6m5wlFDr86sfEZL5kHK6BYY3bMGoXSr5U6+YpFjgbOG
/ZwZvBKWc2vU/Uw7x8zWqhi/5EXwwjn52uT2l1maX0albxkPvhZJgG+9VOsWlYSfla964exNWT8M
jnEyY80zoal5ehqejHp4D7KUBpDx4SbzMeiiu1lQabut/pDLZRHHqsNaH3r/Lbu/Kw1MDrB/U3a/
5/9nHX0ExZ8r7+UH/z97Z7Yct5F221c5LwAFhkQCeVvzwGJxFskbBCmSmOcZT/8vSGZbctsdR/e+
cEe4aYqqYiHzG/Ze+7PyNuQX3TVAAZo60xVauz8rb8NBFAb8ivXPHAD3U+VtWV+oiYnIQJHFgANl
wX8qb8v8gs+LCAWs5DOHFFz+b1TeyAnov36uvGcxA1cJ0jNBT+vo89d/6jeRIQc8E411YvRBuIId
l42P3FDa8SENsTWbS6ObnAozr16YrKoyUJNt7q38IPMvrDZyXuJgZnuXmLXLZ1xVhnHVGzVC96gb
eUTqLlNn4lv4QFptEu5Zapl39ACavTdqvdIWSmnNOfUs7xCPUgfbHceRcRs6KhHHyZ+S+ptCVN6f
Kgt72XXBJ7zDif2OWClc5VnYJstWuC0G6cg1kL67YXdDNlSzF4nJ4QoqO57Wnj62z5MA6YnAKNCP
JqjpY1WWhKpkKBnWwaDKZVVWzbrVx/BoNyO2aA9bA3xRT720NdXYQpReT5iIYEUXZ0F7FZj2HHj2
zHLhWyRZETI0SJdc8u9Fk76jgwN216WleGPvzqKTVUrp9/ts0u1Nwxnz3EtfLjpTD8NlH8PKcxVM
NKKW3K+GFiJaiHsPhT17L+jQ5j7QvOACV/9c1lXOpVO2w34qinIrGHksOUsanGrZsLTdghlOxW5a
dcC1g7pYycZdggzzVm6THt1WkXjjVc5ptO1pHwvk6aBYGRWT9OGEJYFh1P8LiyCWZV63hKLA0ixc
9Y55XNu63bRLDHW2KIG22EbYmNYpmTceHplaDI8iQBIb9xNYPgipgEFZOQDzb4Kqv4wR/i1RuQ2k
V85ObuYT6wgw3ln34/gWIIF1A/Ike490UdFahNnXqBMVgoPyLRu76Aep6t9hgUlv/8+n1uVL8Tej
gvl7Pg8sAEw6Y22mzQ6mVGLR/zyw+JJkV88M1ND/YDN9aqPcL8i6OUeQVKFZkg7f9adU1bDFPCiw
/jgDf+fAsr5LUX8+sOCUOhYjSyhMCsvDfNb+fGBVZZ3ykTenczEr7wz2EQt8qHgskOUZUbn1kOmJ
Wa+Hue8V7x0m/gECE5I+QgGTVYnIT3Ulbk9EfxPHlI0MkJjWZqEjDJQEE4yeyxgCxSC7fHNdIiKM
ERP2iApzxIUuIsM2Ms/RrDp0sZQsK5+QrwZJopy1iVja3zWZHYkDLVCgoF90ZiUjCXjewkXcOM4q
R5gF25QLXbcJzSsQQpJidcWW8GzPCsm2yjp1YSGbjOW49Qba9dFW1wnCSp9dUjYrLUcb/oafoL4c
kWH2sx5zmpWZ2XeNJmJNLEv+0iI0REPGybhD39BcoA8hKRflBHLUpYnws+XZmzsq0jxN8vLioMSs
anOMJq/UD6s5vRc5TL1tyyqMlzl8z4Gs242jg/jt4x0sEdKMGrUs62BVicTYAy4+WnoSHgziQTyE
YSA09WLpxciPYmCvqpe3pRFKMD1Vs0RmxqtQlTi7idxnfavjxKULtGs72TOzupQwiqwsa5Z14z3X
vnsXaa69DzVrJ0bvnZUGlRW9uatkuqrRf5EHD2xDE2KXB16NjzbV7xBO1QtnsPcsfIeV8Isb7Pu7
gdCXZWDHQImmulzmYe3tkTrp9DkIS4tIbUJ2h+spwElWegkxS378DWcmKV6lQRelTSaJoYaLejQG
XwSOnqCYYKU1hr7p+jkPLpmj4WJo93s5x8UhwMeLp7nxviBLbphD5TohoDKbTrRtcqzGu6r2c+/W
JUHkYMjgzddyRlxerA5TEQCVSKp9Vfp3aLvQKDdYyzRiNxkWr+ugtdedy3awy/Jj5lZoZtOPfKC6
FVN/1IfusajRkuCZe2jNElsvmXzLzise4VHoayLSLtpsuEBDK4j8jMiYcAl5yRm99fYpm1weCe2h
6Q19KcBKRyZrTumLs1P725ZL1w7RJdcCrKyK623kmBeJJFJKV83zRD9Cy3uvBiZEKUZh3yztLaKt
dBkZZbiuorzehEGGET0+BT4ZzIkfrKmJTlmids18tfWO9hZ64T25FNQYmk8Apqm/WWHx0MXuSoPZ
sahc03jpKnutGdoTIVzBom/ckzVg6CT7Mb6WsXhuiu5YG86bM9VH9vSXkyEwok1cW7l9HvLcPGVV
SpQeYpgCj5qFhwwsrM6YKrihs2GOE47kbd3F2lqM7rEICTHr4Cl6QVgtM/iVYYfFuImTazfEGm/m
1VOhNRBkWm+J7uUqsL18Ka2GZo5smpAJoSZ3U93n+ObQxelVrZYVqPNZK08O2d7p4jP2EIobfutm
Xx87hwi2OJ2eleyaTUMSqmQKaldgS7VoDiwtL9p+2qsifDXtAsStYYAm6dWiCKPbJrFfFVM6bL81
8qrSefA1IlmM1OMhzgPS/YJmnZachSTrJcO2/i5o/rdP+N4nmGzv/seN+969vP3dnct3/efO1b/w
J7H2gQtl/egE/jOeN5i0w4igPAfQ+31y/3nnqi+2KZmas10hmIpv//POJVJLt/EzEZA1Jxz81nSe
VuAvPQJXLrtnehVaEX7gXxXJsIELy/bC8RxmV9bozFm/SONwU9wPk9kv9BHWsTKzC3dKbtxRvI5F
oi0djLNg5+iNCVQBKdOoQx1TOeqsFgdNvqogPiWtepim8t7qyQ1u/U2pSYJglfOUFGlBiq+k+6Dm
1s30Iu+tniOrU4t4Qoqi0+OTlydo3+MHCukJYzWRdYZXLnFPwNA27cc44WM+Tq9QBlDhMlHpy/Y+
DpurSonLEFHIVlfubRoP4PEH/5LJ+iHvO+zpWn00XDRNA3y9dMh5zRMzPWtRuu2+dYMNK3tvwU5r
kwXa17ZAv8Odbpvqkh3xZhJA8OEheWsvq431RFA1Lu5N6c6DHAgHhjDARYfnOjbkwg/L8XZiERF2
HjS+ol5OJY51O7JCLm6B7yzTIoj09lM6QRKXvecQLaQnBycP1aqk0VppgwdEPmd61M9C5BmFPlKZ
9GpaWEZ7K8ciZ+5kP+AjBVToh5VARdNyaePnB7SwGCRz9Huj79FhgI4qIcWXjR5gO2+6Cqm0H3Hd
kDQtVl6ORJhxzwVivHVcj1s9GXZT38l1W4MMJpRxO4BqWH6POPVs4144ONtSBzs+waeJXqtF10z0
YVRrsuaDE3jtfZNlz2HyXnm4TEXCwEnU+7FtyY8gbktG2S43dW0dxIXNLKk7KZ1ImBjlaxDoX0ch
D2mBFDm1ceUbdnkv0vrGTwU3fLfoi36Pq24LisPbhbbH0iP0dlkdgJwvrSNObmOhtMLZjxr0hSl1
H7SucrHOaZtemVs9xIAz5ze4Xr+fFIsTjEpkLPoZEDENvH1ZbMMwcBa6M5Ey6DHgtTe1FmKzrtqH
CdleYpsfucV7xgH/qLvo5L34fnSCJ8z4V0MQhxiS3F2cTY91NQ8j82CH2hZDDL1kNjSHtCVXwoym
x45dA4Pll2YM1wTVHVUUroyweGJr1aw8Cx0tHhikxFVyx3VxH7AFXxQtlmPdiY8xUVjFhP23cZ5K
YEiLqpWnqnBuJvxGukXk0qgNW30cl2nbPtuufwNudOMY2dkS3IyFrnjGJvOCuB6wZzK7mOLu0rT8
TZy9xfMiAvnPuu69bR72s/lfGCscMlchYEZXB1OvSC3gZ9ePEzT0pSfNl9QjAcjWY7rBmuitxCfp
shvv5ETRMOQJS57KuYNSd8Q89jS5wSlRw7VlEoqp4zdXpXrz5mWXYk0mnRJ+d8oH0LtLWAWtvcgk
TJd5a9gZd3yMH50GJ6Xh5ZdNKK9rZb0p4B/0nf1V7qEPTWtDLD3fJFzCy+xFImn0XeCl8E+H5GqM
1U0MgmXWrQGh7+BaE3oKL06q18FrXuKkvPKMCsC0Y3urute9ZTqWuM0i+1i4tbiaLHcLNDTIrplX
RLdFZnzzRoKY/Hi6n/L8wpr8VwNJYZu04y71lLZuYvMyaFg4kstdb8YEvScomve8cKZ1C5cLuEMB
m6spudgZtC9QD7E0spNq6YnqgoEf20ID85mxD4LmpkKWutB7ay8ncTm02jFPeZVhXK6Khtm3PWmC
UAR/FQVpi1xbrP698n9c+WzJ//nKP1cvZBT991xwnvB9XvkM/4QBtBhjpwsfXHHnfl75hvuFS8A2
ud1dJBoSncznlW99wWQksUJboPTxovGlzzbb+mK5UvIPf6xNd27+Tpv9d3NBFCggjhGYmcIyXOPX
NruU4FN7R/dO5PexZ5mSmADieWymDaV+zJyapY42j9VEFBxCb3xyfWNaFk70DcyNgTST1hYSH06G
dWnpEdi8slgPUUipauLDf4DvSOCDofQaaASP10JjpGRyaFvViyDR4r1pdY8g4syeA17pAzJW0xnn
4yZow6hcNwlBFMukEqTcVZGSB/AcigYEP+j32KA4LFj+RnOa0FBVHxqseZ5p3H526CGTJ3zIY7m2
kHMekWbR7iVzRlE9+qQDEFuUoCsviDHCWEBj3V8b1nQREHPkWdqFyJO9QfzRgHaRHS6LTNTU8G3q
Du5ALYKLQsitXmhXEc/8TeG5x2bOVpJzyhLkAqLK6pyMHq2P16MEA1EVWkRITnsemvqsxYO76DF4
LEa02pwR/Zpge6k4mhqotaE1Vh+x1dyGiX7LHCe10XM22ZVWxtPJEjFOhGLDviB4JGBz6TD582ov
PXUCVJaVExFdg/81C0TFZu6iJW6pFqz0VpN2vylcbgennMxVRSsEDodUp0Qu8GUOC29y5Mo0suDc
+eCLwgLukWWjRB409nE9Cm44VLU+VgtLMTQsTMYnoXYiV3HTSYPteluI+1oRBsS9h4AjcTfMWMIF
hd6S+KYK6JZTPNleyyzF0JhPLDJon8t6xLT206P4N4rEeT705/wI4SYPHHoVyUyAgptZ1q8f7EgP
ej1W5GObelBsrKQ3XwhYcJc9ZMFg8e/59+P84+D55/PvKnn59l79zfnHd32ef+bc8gBR/8NmOY/5
Ps8/zPJoLOl3JLrXeWny5/kHddeQFjB3UyFc02ey8uf5535xDAaNhA+Y2OwpwX/n/AOe8MvHhO0L
kb8GeilaKNNEJ/eX868bewYJwunPDTDnpWhIDOvGGyfvyE1U/jk1yugbj1hGOKZ1RyQoxbOlMbxx
+g8tQNwj8ddNloYTASwPtEwMIw7bVzKXXiufqdOQOLBq2+xGKNh2Oq75bc/AngRgKOuF89pa4a3s
pq8BAx5MGASMmoVYDkQG7WKnOFjz8DN1SA21VLaZEvOWn7XqG6NdVH0bwNwbyVhiL7L0JnlqYnWP
PpfOP/bfoto9CXTnuhjOAQH0uUNxSAF2bQa6viGLuVtEorsaTExJyDjlwjGR66RJPNdJLFTKpQUj
Y08vG3JcGzsQYxipGxjs9Fbuuh0La23F3lbGCZJCK+XQLMRdpdiGjAoulbVuCxpCCKQhka/jfjIi
sWyywMUeNj3Y6g3E3KoCX8MQ6+B0zSPpViGSBrJ0SHcH3jrS38mOBE57GN87Pd93hrNxLEh2Sg8e
fINDfkYxJS42CKT7NFnz0Mo59yF7E8Zufl495Jr9igX16OQxHg/W+pbDENPYE3d0jWQExY0tb1ze
IS9k9avlBEgmyWUlFOID/TUeJoQDuqJM1I3Zdtnfp6Z4ihA5c7YCAmDTvSlao16owTlCH70j+xit
zqQ/hF2ULPqMEFfLuy+G6hKX4NGviDeqk4S46OB56LS7wsJGFgw3jZIbXWqPrRZ9A6lFl0nC5bIq
YLpOs9HJrMsPZxxv9RZaSSnUiV/TRR85GBiIQhMfGLTWnsnL6dtpUzh5vTIFqc44eWUEOUD3ne0U
OfaiyvJnK5NPFkDUJbmYL6JFb8GHnKmdn2GjavILo0vg2E1fVcXOGjjP1kgkmIVxl8vmrdNEtDAD
685mKOhz9C8mr7wydDZEBj5M5A/UqpU2RistaEkXtVx0rSp+iBrepIkmd2HTtixEat40slirIoU7
lVZqXTdZcfD83r802/xhqJ9Ig7J45p5SJuUk+em7wOdGmRpxn5djcD32ldp7hC4tcrb6W9Fh7tLb
Xizb0ojWYxtQ/mrFB7NigASsCRpK88CLxnWTxuV0333viW00hXSrvheL28yz6DAxpTyEIsrXgp5a
V+AXPLrsIRO023PfDS1i5WRqOxY9LbkBR7Dpq+SArcNZp503u66sp7yzozWUDMAGAR9pUpFh8jNo
DBEaz1LCle+q4dYtmADkmBCHYHqb796w9N0Va7CNziyhjUnhm4hCXGegxlYxE4fEcS4H1Dt4qJeT
7n4NmUwEru3Bi8Sm2TT7kNlFhQUrYZaRhO2mmPvXiSkH8AIKL+Yegm3uZcIkJBbylnfXICCNCL6I
PpWZyaxGqSzEZr7Xv9ZSPOS59ZjqTrIwmbdEM/SuBJAxW0If7AC/IIOCYInz7bKfBzbZPLqJg+RC
Z5bD/2suB9xDi7KxGZEy8DFLbV1Z8cfIJKiInIeiDE8Udq9VPRHHhH5RMjuS7awnKgMLAGaP1KJh
WKx7xqs+RDcusyd+eQyhIkAhTezcp13X84RYzYzSgkGGJ0fOvQ4jLvA5tD95w8M08ug5NEZ1YO7r
uVMKaZmInWNsYBx0WimvbS7iubeifsfe3kuyKzuSu60wBcLhuMiJUoP1Mg2aNgMTc1VGm6ZFHVoU
+mU293Pd3NmZtHiT771oY3rBPvpem3tAYxi/kQ4f3Y4EGi+rHptvLdhnjKRGO375rcfWgNuU7QlN
233oQrIrim8h6UhL39TTO8b7Oy0z7x2zTZdewW8jcTzSxmOEfB7llez3Tlp4JCK2QAK5HYrmmzJ7
Jt5pwmcNgyZlW6L7YCQr3SCPjIIsW9OO1Jvaa2r1bKYQpk//VkTfK6KZH/zPFdEtYpGLNqz/3/mV
9Oi/k4z83BqqL8IxGd8q6lNFJfRLaWSRcWPRlemQs3Uk3p+tIRQKxff8J7qW7/osjYi1haHFFBmE
0A+hyW9IRmZByJ/1M4URlGKX/xH0rhRc5l8Ko8qk7GcB7J/xrwFgOYbij6r5Hz09VB6//IzZXOWS
80NgDwxmNDPuXJz9JEpJjVxXRTIOlxjM92gt1GbA31dtnHQ4DdYgyU/Mxno7IQtYS61gB2KQ5nZr
cgICveTSPDmVo+p95nvlqa3If2e4ZcnyNEf3DGtRA58AMmEwU2Fos84hxRS7OEjTNQY1SDRDOW0r
TLfr3pDGtgpEua7zPtpaksVK1smryMn8LXgvfdXmfrUNWUNhtKvySNtmKSahWwLkgo+UEerG+mFx
c2vGmOqH9U0l/NvaKDg81oGY/XFccnjlinIor5uBv0VYTptJM+yFNgSPVmEcgyFg6YeIbxHjVbe6
cos2/qKHcrRwGu2yDboHO7buSlXfVhiX/ax7kPD02FCXJNCG4qKsxNoX5QUGcZpXP4YnwILXH+QR
wuICftksvMuZeiK81Lkzp3w8VLb+VEQR5vnEgTuRl+cqlNFOZQH59PprIEnACwoqJ+EB8nMT4z1I
clI2lUJIJ1mKK6ahvoDu2QyDvQWJNh3LsTh2YPoGMssbLfS3aWJXq9Ca2MMWbNvDU4oSZO1Zcxwj
kvVpqvZeFd4EdplAg7KRn2vxvprmhALqtaweqnUVpLd51RwDa9aVj7r8NnZgEMfK75e6KTdDwUd1
MMI1mQkUcyxKuZL3Q1GeiJUFGhmxnIxpAXFCIHT1I3tmR0JaHgiYrzMGZpzkJgh+wcRybE4lJEsa
eTAGMY7wPNHfhWzfaMXdbZXIFHZ0qpEGFNvhdZG56coYREh0MrNSwzG0g0LftGXv+i3Wgv0ktcvG
cO4bxDVJ4MmFy3TSi90Z6H3BTPq6yxgARuYqqrz1bLlMJXt3UAZbt2/MVWnxxoN73NV699WYB6iF
7c/F1vMkuxMCVOTs1XCwE/1q4g/tjOyUMjadBPLjQnsxa8QK2rDPxXRheZgMnIfBe87d6YCf2t3Y
GBoqxwaVbOCvH147JrltQ4a6wGxqm+OV70UGCsRYktKsnhjkPlk0ZquqNy6UyNCsijOgujEV4KKn
FsLjVG4ISbhzh/pexB3aAegHdgALr0OITfTRHBUNbyOP91B0mat0xkOhBXeum95rxZyn0W8cv/gw
neFQKu0wDPpEpK88oOTaJjJpkXXWKxC77V60orkRfXTg9R3tSH+G04uLw0pC+OUQP0yriC7RDsS7
QUvNpxx78mPt5ixzh3H0iGPw4pvBc2r0wYmxpl+qWB80warUZk5BMkduNEA0SHrWVz2PxUVX2OFl
K2afQ1J1xFyh956fMKLoc6TtDfFKpee+TpJaJLDlg1abct3V8tILYEN5SdEtGqFqPszWTPJqkyMs
ZpoV075pdNwvlD3lyu8Kd0HA3hEH+21axAAqelwNXVEzj1fiUUqgJbJblS33vTPU2cEFmXHyioA3
ewKQGsv8VfgMnSTFMo+c4ndk3+l+EfM+jjHWFv8ioqZZjLF3jWv4tR3UMvLYLkUs+TxNv2WC/2RZ
xXPdxoynol0XNR9O1Z8R+0cb3wvQjvXJkxm1QNOd53zUFvCzzYUwkJZ5PXVfU2fuIoIhUXv2ahxB
sYObjkrzLZXNsC1Q7kdZ99RZHgSIBqZL2D7DvN0UFb/muEer43w1svoB0T0mi5yF9RDdDsl4kal+
15QGD3gfffXRjIc9j+gwnDov3ZKMnHF+ypummc52LZ8Irr3MaTxd0X3tZ1hXj0PaAbjUCdJiBx2D
p1DU2PEzjgj6uEhuCXyAzZ8Ae2jccO/X2IUCK8uXkS1vGXTxDiYGWrjMuWNJdmgssI11qBOoExyx
tTAuZX0Ki6PZ5ZGPk6Jk0aFXO3tOTANVq7UD1BRefRo4F+B6duRwHgxqZFV0K49KuHDjswWaMk4p
4RjqkW8Rv2iutgJnv2vhyCzK1nvRm/jAe70Kp4FdiakOoh2v60LnrylqAru1XWXLZw9uTYcWXTTd
LcFtK8L4pk09KDhuYXDFZODD06kOidF41kVkLUysV8pOtqVX3qVZM5G5le86vyt3rkpHaCBEsJgm
BJfwWXqg0ytw4qaZN1g5dGORC9Ff6SbzByJ4rHXsVo+ZHqCM1t2zrpBA9FlZzuoMZAzAgzcMjb7B
zIe6R3X62BeSz8s0u191yIOWCJO3AXbyyiSCDwsIgfM9MWUfP9Vn/z9jQqXITjIlVQjDIYZOv5Yg
RmwbaYpU/zIi7jV+iNWrsH93EvmXHzFXWj9VOSOfYhm3/AgdnrZ0zm1xHqKr//0yGIj9VK19t6nz
MuS8vEeWZ1t/eRkmcyA0IKF/1gmoc53z1IBOuCMv4X//GAZ5//VjUAyaSACliVZgVhD89FL8PAI9
Fnf+uYWqU5LoWoMP0cr7VlzN+ChZQ1Cxf9iJ/1Vwzu7If24lriBCv9T/PVydv+vn4apSOIid76PQ
uX7+ebiqsOIyQmV4h2rkPx2E0L8IQLtYPmHS/bGS+uwgkJooWhJFuc9odqbf/UYHAUzvl48LPQQf
FZPtFsNVyUBRzF//6eNC1HVGMTgaZzvpm3gXdh2x9W4Zn8g6WYqpvgai/pXFBaOBJtn2vvpK3Hu9
SDGJ2cjSFLclS8zhvmKxsrby6loChVaYH1uSnmQ67K2hXk3tzo60p9z3mR8xEPHPRqT8E0o/dylt
RpGOARgirsGCyXF6QzpBfdCy5xee+wTal+wtSyOwuW+epjzd9ey8V5bdXbF0t9ZEBoR8XT9OHdkE
JlwmHLSSmUDykGktZUylv4dF/dFP5ptLmDHBnHGwZKp5m7oD05CBAKRR+4pviwXLNFvG8Fl1k7rM
5DgeNRHfsICDY5+RPjRw/bLQ4D/06g9WJIL/kJDOzlgZJnmUkRmGC88TVKhBVVK4W9/0+JEVfFCT
Q17rjJdIeJORClae01QrpjGjQOivQx7KsDnB7IAQDFUJD+OLEQqvW4dDBXQl6wKyOrN4R2E2xxBo
LRXKUKzZyyH60dVMEXHJMh9HOhKzq2BshhgFRr9vrsHHYWubkuq6y62IYrMrF4woeKsIR1rUFfut
oIyg4WdkBKQlRpepYvvXxj21lgDnndcESc3TOi4lEuOUZ0OM6sdrPptE4rSRvor6bhnkMj8ocCwU
oCI8ebYerXrV1hBNO2c7VGzzYKngcyrxvxLETFFhxO2HqXJ3WwZluyxjz98ZUnvtCOAGiKpmhj6a
JaNkERVCHdwB731XGqk8bdn3axhpCDyU2Cd6Wy9zO0quXAsNrVFn0JU1BBqK9I6tSCx/HXe1vXWD
8h3bsdqSWgDsudKSK2fK/QPvHJMor89eXOyI2BRDfefps5tX1+blF+tVy2jiamU42E1TgNKvxZj5
i5ysskVto+IDo14de8xgR79vq60KIDIWumtti0YSlQJcfeHV9kcIzGAhxgDXrbC2rOggleiEkEPu
wSlQua541QGTIsYBRt2noTNnRRBBU4gOo1xvAI/3MklN1iavPHP+oUJ/uesnEobWQeQCXxwsd0AM
iRTxg6ydcefC2L7OZyOkSTl+bLxJh2/HcLLSh7tEM3wQgwlNFRk74BjLB9Ls/KU+eTN/t89Rs+Ji
6OonfFxfkxxzrIczYh2kqDu6NM8h7DgphuTowcjyq6isw+dRwewyAz+ANOa6pCzA45na6zAD12ZL
gNp5hk5EtZL+tHtmr7zpfZf8PaV99FEz8/LDJ0uLDmAcHxkuOFur1vD0ptV8iKgTb8W+jdVHznOq
zQvKJnXvcPxclUZwKKjvF1mVX2Kt+Uae1Ncu0YYVUNerZqrcvVtVu3yqb+tJ3ZeB9NZ6w2i0bKt1
F40hMevhuLVMpFfEtqLaSrNjz9qzcoMbX6/A4fpk/GCHLo82Hk6UTAQiZOYuzIND7Hhn1+pP2mCV
s9vd5UkJKwynA9PRMMkwX6rwNXLRV8m4iXa+1YHJEnRhA7PdgyT6Cpc5Xk9hp6+qtjmz9DYDQFRe
5b12iyqs30ZxHB58GGvocrDbx2Pv8ldieDxqjdwwp6bxy3v/OgX/glYK7lw7PzyT7rHBmX9oU2DS
jLxQbXXy5m8SvypWrgmnjhOm3dK5USXYg9oWwiCwI2IHFIGo4oRxxu3QEmnk1aEFvysVazVB7JeV
/cGOnvpTTHuAdGd0T8fUii7slrGJ1evm1upJhbGoFDexqMNN4Nj6NsGdtxJ6nu9MOdBfICYLg2SC
lhWaW9OaYxYj/rZBylNr9hSkSUaWBeqFObaNU0onWXHbZ7xSu+rsOfzWX7T4vrdahJYtShk7lD4t
YZYiFOeYav/dI/8IFZjLj38udW7C7h1W2tvfSGnmb/ysdgzxRcAxMZlwCmoKFv6fxQ4iG4k8looG
HQvOFKrjz3Gp+KIztEcug5EEO92vShphMuoBW8J4E3uc+zvFjvpVb8D62sIyI2mglKSZQN37a60T
mFkHvtUyT1Vegt6+0BKNFB2AVHrN+FCJKD6r1rRiKJAe21t4XtPGGEd8zWMT2hgj9OTc5qXG2Txo
e9vOrFPLRbPqzTo7IhlLb1lX9ud2EMVFFjb5N/x7/cFM+/hWGD2xk3kEhLYZnHfPDPFFCNfbGFFl
ky9QNvkzO18UflrH0qHqiwXb6G1sGv1qSjL7lTgZ40OzwunGrGXYLlWQ5YtsZGDI4BrJhixXgxmZ
bEEjoLCBE1+laevdmdQaN8yXkuBWj+zYr7eJY5QTfrXAA+CHtsniiGSEavIDWx1s46JDEVUFKw6Y
fHxh9tNdV5XhIijMKxPlKTMN/VLKIlqndlhG91o02bMWNXac5WDKsgJxZ41kL3Vj+Ry3rbUXXdqs
J6rQlYM1rirGg9sURLTPeiK9q5R97GapEQlLqI7SWYDEyB0tklbOuqQxzCyLDJs62o+MMdQqn8QN
sJHO2ZmzvClH59RECce/9KzpZMMJ3rvfvYfTbEMc8QpP1jLgg9mfUqa+mfajd/y3+bFQsf/ziXD7
8q0CepM1f7dC4Ts/jwQkJAx2XRpRk2bm+4P/eSbwJdARc9zIj6/wXZ9nAhISwsXw7fOYcgTMwpPP
Boi8BRojw2HAwlX6m2eCOa9wfuqXv6tL5rQFWipdINWz/7LgsKIuY7k59Gfs/bhqENhvAP9F6yKa
BdNDg5A4rrmpbdE9ESN2LJjNbKXuOqxA8YuSz1SvvMw1bnxfrrFEMQwaM4eQ+VA76s30YnvmdEky
6nsvy3rtQKgkOMC7ZQYqT1lHITp2VskF3pWX8O3WkR88NEG/7gn82YTKPaSNeYBR8cGA+6EPkGGI
+Fwm8EcNc6dCVCeEH+EbTa2CWSgjt4nB6grxN0gRhTAD2c975Ij7XmrPcae99x3WEweUynLo0VqT
efwG7sYnPJjpN88/9VI2LvoYHxqRPK9jAMJc2RBsE/QfqGTApLRj/hCk+bUp/bXM4XY7o6B8b5mr
soBp/ZMf7mVh3ZS1hBLsvU8z9ji7kgaAXKuKL7Hxb6Yh+pqW1sIzvW9BZt91tkctHH2M/iwYTsxr
t2IC7bbUtJ1f4ziCsTC24BLaJEg2Q5PA5VBUW5Vk+Oo39qpxerFjlB8tLWKjkPm06DIYpi+JXpiW
tRepNYVSvWLtwHoJQTaIl23LIPoG2LTJ2YngPRpRThih3a3sXLNOVTnTTPEhENllFAdsfDd5PTCp
g3K3xb0DCcMIV5XVhFAaInvXemqMHzJfc/yTWU/p16i2EUIm6AB5+7oJVhANbjeE9C62+1EDvxyC
7hw0FZTZ7wve5vuyt4Ix8kbynaOtlIH3KhSGt2FQapwddkJL6ldYoub4f+ydSXPb2Lal/8qLO0cG
+iaibg0IsBNFUn03QciyjL7v8evrO3LaKTN9pbr13qAGd5ZOWyIJAufss/da68tXJSTJfTar0S1G
tTsgZiPsDOcpicaMsr2MjoPOuEIqO8Sbk33j5MNWy4x1WfsduZk472pFuZU6CrIOYfJy9Od83Q9Q
dTM9qxYWgCxCEPA2yFxLren3I/nrN9wBGCV1iy5mlY4X+YTayO6G8iao+i8NcWo7K1F7/ALha6lw
fpj1CeaGoxwku+BcIRMCmkmGwhy/7TZ159cblezn68qsgFEUVn6TqMRMl0oUYsorbwq79drWRMQC
oQT9kLEZTVQw9Ooo1EnqXrTFRDYxNBFynkY3E4QRI1KHHcltuOUi3zxrJ/kZQIRbhcMdnpgSGyOs
Eqro2At0h3PwqEtbSXKGpyQeBhKvKx/EXpuvx7JIXhKGrJu0GzjOV/ZZMoBhw+FtL+vWmXWvxla3
MAVLZRBUlZCEz73dT4eGnQoFPvF92EN4MrO+Xo2yPXqtmjd7ySbPo1ESIryNcV6+LcP/2Y9EYMJH
+1H+X4vXOn+uv0a/YwCJn/6xJ1GmKpponznIt9+CG97XqTb9OPYeYbTCy/XXnmT8YctIVh30iCZj
deUXxTcbnKD2GEgiLfPfTIJ4G9y/H+yz0OOmNpE9siupmiyG8u+acs5oSKWjgFWXIHp6hqifbNb1
rSlqqv6tvGqrtiYrapIou7AwsO34Q9XEt/AecCm9FWm5qNfyqgyYI5uijhvfSrrue30XMFmn2hvT
HhfpovpeCWomWrFF8lYiUozW1IvtW/Fok+xD7AoGSbJLLBlgWzDHN1mR9resqLHqpok8XYcKWVYL
lSCLVVmmzKSQhm+mMEJlZXTWXU4oGWH3jOLvSjwjWB2Ncp5cPWctcqWmyt1EK+0LLelL5G9V/CgZ
pbEhK4NRMZI3n/VPCewFCq9oj1PY7tzMJ0jHtSPTd51CRWQgZy5n0I4QWCs7WGbeX2Vo3Jd1l6g6
afh5v+kk32AXqewnlQP6jGHMKUDfYcUZF5ZNzBd22NS6QjhGWNncZtEmra35JVMljeR9fWpyd5Ix
e6qrzjFinn5d62AZ2L3Wrg22I6khhUjqH8mFVxQaT/Tw9FjpwnxJKU71TCUMsQlr26DNs7NxAno0
y6msg7VFuXDZ1H38hJC0uXSsxlrFKZTcRYqU/YYEkIOjNSV2GYmreZFLQS8vg0bYsAK/6KptqCod
nYhIjR8TNPk3o4OZhcNzh416IHkp3cha3lqM3Us/3lZKHY9nmRXpw6s52MGrA6ZlTda/T5Z/WBBe
7ZBI3UgN7QiJKNfEjpqHUFPK+lixWiKhbP9ztv7zbM0q8tnKJQ6ErFA5sSLT9us///HXT/5YtdBp
c3JlIEAahDhDsyq8q6RNUr5IqfkZUvOjkgaVg/NUZab357jgZyFt/kEOJQsa1Rurzb8ZX6NZYrD0
ftEyHNUgXYd4HSTaDChOBk8IeQwDH7h0sIwshhy97UU2WJ6apFoL9EdiTRupAQaCw+mS+hmerwCF
DBBDhgl0CC7H7SxgIhgaYlcWgBFVoEaqCuhIBH2EU/ddAY2klKs9QNctPgj7nBSaeqkXYLlK7RYl
yDoTSJOgTa84DleuAe0E04OLRKdxfU2+dGRUAYNNHH4d1/fyaH0bCeFbxUN5nanxraUITWeCgLGT
kCQBLH3Qu7LzQLB5WQLGOA5KcBCFtMqrpFsAJl0PCRIT8vYBfXTZWUhIHRFufkElTky/5Pmj/lSm
vTRd0iW3+1U6KgMRikXTUktVsVziQyU60nOQXWAxcVYlz+Wib6ZsqVJ4EXuuLXsjB5gixRddPLVk
kqduVkCn7uT4a2vRTZB1B3iObSy09sCKrDaFhSh2QFHgwNXF9XZtjczDlUx9igEv0J4khZ5I+95t
ih6+VtOcVXL+BZpOXHuE2BG/hbiZw4SZ6epllQQJ4wmLgMUpuZHRLyQWc5VmRN7IQeMh14s7mtVA
5+exOOfcMrmSxcDewmIclNs8LQ6N0qwzpB6pY52Nhv9AkwjpbaJNW8RJqy7X5a2CnBZpSzPBMRgB
15hkpsspR3fez70dtNFZj/57WXL5FrbiSwLmkx3JtL1BXY45uAQyCjIKQYygSbQCLJG8MSYQAplg
uQd7P6vTpdyQzyibDXMeodquS/k6QHDvC3DFXGvHCpKFBGuDw8ulEVtbYE7rpO82sKrJN4WB0drZ
cXQIURxVeLNQMvSMb55+TRgbaF2y+B6VCRzbcD1QlGeCs+EA3BgBb5QAOGpAHDVAjqhFri8IHbQu
StcU1I4ZfMfYD3A8FIgeI7IMIMzyjq88Jq0xfo1pS/c1702aAmNJ7qixMYGEEAOy1oCGqDXDGUER
abt0j8T1KhN8kUmQRjRJv4664UsuQcFtbupOUVzMm5cBiJKSFnBezme1qdzJTjx4MTCTBqhJxEaN
aUDbR03ylAnuiWTRaRYkFA0kSijYKIqgpFTgUhxfKZZyRrPKnLGEc6pB/axShheN5BUAV8iw/aKV
MkApgWIJwuMAmqWqBwGKv0srmC2yOq0qQXGJALb4YF3iLD90+BgWoQC+CPILgQ3njmDBkMiyS1P+
Gfmjg6DFDHW2tcHH9G2+41/OQB40DWu20QLaFLgZAvEntiwBoQllAaSRzOAxBlGTGzFGDQGtkZoN
RJ7HBpjN4PRLwkrWsWY/tcBusk6X3IJzCT5utwWHUwflwyT4OKo4PA+6eW6r3ZWtVCkaM1zAda09
ROB1hqZ2U8HbKWz9UgPAQ6LOpSqIPNPc740eRs8IrMfPGVA4dbkJwfiQrnofq8l5IDe3Vl7KgEXl
qxbwj1qm+5AueyJ390hPrmtBCMpABemZcPPX+wiE0ChYQsFE/zIGL5Sq1a4CN8RNclYI/lAIiKjx
CUYRZKKu6x8ytfLwH6ervpEvCiBGkqPsJLr2EI6lrQ7mSAZ31NbVNgN/NPSo7OfkfARZ2qbzZdsn
GNWyaq8BThpLblmbo2PWpLcgI5+SgTT4yti2IJcaHbghCCbK2rseJJNhNzd0klPGQv6qN2Ay9PaX
BDGMImhOM1gnX63PJzBPueA9NYCfwiLZkQD5NAKEwqqDFoY+owLT0Y2BRul9tMqBSEEy20VApf5z
qvqulqYT/3FtssJD+xI1L78rT/jhn+WJSjwGGmFdNiyyPsXx6Gd5ov1BTBVbujDFImugx/ajPLH+
QPlk6XR0f/7Uj0YfEwNHQ+RMipUD6wSH2b+hdPh7mw/PtM7JzBC/lEnxr0cqZJeyHfv1jOzmvrL9
hegmvLsw3PlTUOT/lXfZRcG0svnnP8Rv+Kv+sQ2Z3yrbsNF01eHM9tZofHdooxFglmOpKcdmlPB4
rAz0jY3xte83H7/Or5/k768jphzvXqeAH04ElIFiQ8CK6/PB+vrxC5BJ8vEnOankAibuakelf1RH
a9HrtxYDVzoZjsR4pF8iZXGb/rHsNl100SL+VaJXDnxBcKEWl21OMBbCwmpnGgGJSbi39Msuvh6y
0Bud7JNLIXJVPrzmp83bSPIx94hrgU5ZRGKU913PkFnRjwPKad8nY3v6ZkloWvhP24zcjy+V6EP/
7Q3gTTRMZjM6x/UT+UyO1brtZWs6on+PFEzUNZmsSLOYy5Z6VboO4WSg3Wz7rCbK2uiGKwXvCqex
gswpWZrdmpgP/ISMXlZtIJ8NdMXqdZo9qJl2NvgynWdVipXbUcvQvCdObDODbxd5HC9rs96W1GEw
r1ZKO1GcTASaH3szWmYBxh/mVJ2JeH50LjL1ArbLyocDhmEvaG7I79prbbqoE9Pr8dqqAzQ+g4Tx
mTFrXHqJcVOUqAZMZq8zI51oUtwOnpolZ8uh3EzVQxPT1JUIYhnyndLql3G8j8ds3QOWuM2MdFFq
s7YsnJtWNz3UmkRQMqg1okAHCUImvGwzRy6S9BEnNcRYXMeO4TdeEujnH39DQnv17hsS/f1fHnz9
5HEZIgzG7djMR3mtbfztfN7ea2vIZUdy7c/bDWGTS9tz3GmluWeEHa4Kb3yUtsmqXctrcx+t4u+2
m39pqfj1mPT3x/dkCKmnaWdl4pZFWY0SNR+8mnS0VSV/shz97s58vxydLHh2lM1pSHF1lPJFejN+
rQKXsSHSJHolH19i5ddL/P0jvX8ITttVfB+1hsHgGHK4u0BH3mGioipqaHm4wZHR4ccv+LsVkMAG
emQ29hSkcHzl71bADFmZZaWaehxI/crnL7108fEL/G4BfP8CJ9eOIwydokBVj03vCRnaILmcdj75
FJ+9yMkq64yOOU+c3I9Ov5urs9a8Uc2njz/H77ak95/jZHmc2KvJDzDUo8qzPaZIxcwrJz44pIy9
vdD/dM95H73URVN8a/+X+M0vRTnVURC2//vXPzbf/xy8FgKw8csflm/tkcvutZ6uXpsu5Ue/P3ji
X/7f/uWfTZabqQTZ8fw1i3LaB20dvbTq3xswQhD5YXkEAmTxXH95rp9//8M/yiOFIDCVnjKIYwDF
b43ln+WRjDZClQFl0TvRab/+VR4ZfyDYppdi/8n34Cb5UR5pfwg1Ayoy8oJpElNv/LgYF9/LEq7j
v1yVfn2kWCXRk+LXZwpOcihl2smqpIWKNLS4Qw5h9jQ3h3F8fHdZ/ny998URiQCn6zCqVR2mPQEm
JAYY1ski0fmNDoRw7A7dbCxVtfzGBnlIfeZvdfuNmB+PfgysQp2hniLlW9IANnUVLzsLcpgpmcC+
gffmFkbLRr6JO5LRm/KrBBN2oTrnncHsp2mTYTGTKq70ipGQ2tlW2jHIsIstRszqARfRNUKmnQSU
TXOzGGRjOwq5+kCyiPamYEfnAbNKyNorNfXJN0PqriOtpJ5D/h4LIbyT6C+dkMa3QiRPgFa1U4Rw
PlDso1Va0jJFU0/nXFsqQmZfCsF9POKT1YQIXxFyfNDPux59foJO30AW4Qjh/iAk/CSfb8jYnL0a
db+Pyl9D7W8zVcLsnz9JMkYABUcAnSjCELAINCAbV4Que0HZXltsyRIHKK1iBoi7IC+7s1bYDQx8
B2Nin5HKRD0GmhY141llWc++0mPStVCkORJ25ui5FWaGxkKliLshDeKjhNuB5hORTOpjgwvCwQ1B
OOG5LuwRtdrvUw3HPr6Juqw2pjBSFLpzFwtrxZykF7UwWzS4LlrcF2WlCrlafKYLPJswaKjCqqHN
NCeEeSMUNo4OP8ckjB2GsHj4eD1kYfoocH90uEAG3CB8Fwy8cwx9iJfPRhwjDs4RvQBYgJPExFHS
4CzBaXcVCqtJh+fE0vt9iAelQF0bMHoGUYrgFZdK2tOBUNNrME8wl+P0nvHcnYKvBej8qsDnYs8G
/aD6yRQGGGZ+a0lrHgs+PGdPQBaolcm2WxIl5pKb5mnJeF4OFGldFSComcgSa98sNxYeOTw4PAUr
gnceA59Byti08UrqOm6b6htx9xub+C4dP09Xy48S/p7GgvycIDnucf7IRvplFk4gYQkK8QYlcZ2s
FWEX0iXrJsQ/VJUdRqKIxCo5Q0ioMIuRhN3Ini1jj9ErP4siExhNCScbo0yMS6kTdiWAi0xohIVp
juE34GmSOsxNqrA5GRWxPdgfr0ZhgeqEGYoMTpFVpzWYKLFKEWPgLwfcU0GrAqPETyULY5UjLFZE
TfTL8M131b95sLI3P1Y2Sf4k+hPRYRSGraoEdelwKaCJlIFbfzd2FaGnh0RzpJ0kL9uZmX0urGAF
mhIStjt5V5rGwg4nleNGvWvb8VjqJU5T9FcLRRPpNWrVbJCXxcsg6s5NJaCNkJT5WpkNsnxnB/O+
qiw6PS2XRVsViI+i9Gih8kro2TSXMwgd1/fLF2Oe7mpfe7aSasP6RpS3krmOgnVjSqVzP4F+oKQ4
RBPTIGA7LbBAGuTM4jH00/suya+Gvh4IQzSPemQvWFncOtY9zVI6ryjznVWBUqF9z78fLvNOC8hu
KhesUWdBBblFq5ZxjyMVvwjC73VohHvgz/dJDdmjEycGP13nY0L6E03tJmrBU/gmNblMVJAeWV/K
QYJCNKPORbEyZDeJkg2rnl6jxmjahRICVcSecZBFUb2f7eSgqThwneZSqeiZp0BDx4wcIbrZHkve
VlX8DpAlh4906m+x/N5k0GE60udSr6m7cDkNbeaw5nRng2wWT7ne0nCOpG8EExOR3JHRxMsxOS9N
/VhoaY3EK7F6zGshiAgd9BJLf3jvV7yC2qU3OenMqOtl56wjgeiM6GUEJAaaYBSFaIEZUemFdWNU
BVYX2J4zXiyau5Puo5lIqhvTn27s3JgfZj+P3LQj5NboAmVhgYpusfWtSxmGO+kVhUtKPZK43uge
6ohQpNGeotlNwVGxK4XtRu+xnyYD8iA7q70pKx7Nnu72EIlWLbF3AstjnSXVdCsjH+ojhD5FGd52
qXpjg/LYjdPYA8ehw1746eSWXTwsSll+RLKheRhcq4fOLCEUF/gMkpAb3Yo6IiF87UGl23btq8a4
sjsGbzHJ+MuPt+eTWvQticlUKDUcaIrk+ghT0buKWs0yOjdBnB9a2CdIEraGOVwOdbP6+GVOOwt/
vg6KL4MMch770yKgteYsgVdwyNJ0T6boLasSDOfsieUS4eDkCKhwuunHcpXayaZRQ6K+oKuo+Y6V
6pwj4iJ2kkvSKq/MSl5qgLw60mwwl78WnYnhgUdAn+2DKQeUaz/rut8UML+9QmhQLZCDBiRTSsX3
V8jIuiJqnSQ/DGTaBNONkFmGxSeH1ZOoI+ERg/4mvG5oZ4mPtE6+B4yc5ZQlXX8oA0w2xI5ucdDq
uMAr9o2+J0FG6h+kMi0uc4d70JG3gz1w1p/I9RbTrTnOVqGE4J72jXOdsyt1RQ8jHZkoMzK2cjIs
hW/nEEnR2egzdBhUnhszw5I2EaVyhRjqOWlTEq7p98+IXvxGMZdhGiXLpNVeJMbe5Lh1ULYqk1g0
sDhFhX8hRAXGVkRpE5pbYstesTo8jxZODYPkjNFK99NsQSKwJmkjK0O8J/ArW8wjAjUaKJEXOgTl
KFFw53dKdlMNOKcdJTg3MqjmjVm2G1OBslawxQmw7xRbybKU1SOS39wbZzoLipae+/JzBzAKUBfr
4qMt0e22BmUzxfpjCgMOwwgOhpIIVQ2jMGQXNjEeMwI+Os78Urap28wgaGc8oxnznERq+DKlxlo2
q8yz0nCvFjRHtKZawdEmsVUdrzLTTJH2KQvFnMddZTWftAqU394PPJAiJY02qCNSC9/fdUTcFTl/
1x5Q+z1rTpN5c9mnB1Oq6Bk04VPQcDolR9VVzNGzo7eUp3TPVcGqwShhowbNnnz0Bd6nvVHYDyTH
hKuGwdCq62R9y9GwQ1PF4I3JpL2UCz3bAKAovUGJBLWdwFvA4ldyVuRYl6rrIEN/BvMc+/cAFxAV
L6OjamVmM+c+85kBMRl4Cti4OlNvTXWidibdQWsVwDoku9cGrL96MB+wWG0HX/1qWpyqy4FlwEk3
Zj7e+E58bvW1WxXatYkPYh7xXEzqtdH3+yQOr6vIuMos9JdT+2Anib6gbpSXZgXhPKz6ZdMh1rOF
IwceD5MmlZ3DlJ4l7gm3dLRHRZMelBDkQNXSnQotxiCzREj9WCwVvV7LhCM6eU8en7VgN/L0pJVd
2x52FhFOg9LTMUqFArG90YQWwx63DRJprA4vFfrl3DLF1HSfdLmXEBlOlve5lZurodC90IqYayEL
VZ3oEtxWsgX6uSwYdpopGeQlBU1hBpxLeBh7ybkcqvYb2eU+0kqhSSXJpu0S1yTaXwUJoyjmudlo
60ijRWcrQbbUgxn3OBVq0oXnEolEiTLcFwWCOSm6gGVPfgO86ETakejghUOAMSh97MtmVRH56ABJ
8hSFXTP1B0jxQObrrPQ6OG5Q3aV1PNi7OUbm6SDkGRSSHBoC5RezqqxiUveJ9bkgwHET5C32p+o8
FxrYtk0l4POiV5haZ3ow7Mq3cbwwWOE/UtwBdG9Y4plpOCWkJlq+bFl0FunQw4VpLK2EhH77kI0r
c1oV+sa3+vtShtCVyXvTqGvEivp5HA7NAtyTv+vU3nIbUuRcC4vUGgifV1I3bBjZNd5k4uDuqUKs
gggnC0FO79fKJ1vbSbvtbeV+96S+tSHf76ChM+HiSjo4CYDNm30GAGbshSrrmNR7Mio/6R6dtBH/
9nonO6kagv8BztceiuKVLP1+vAJUkQcPqGA/2fjEnvNurvH2SoJ6DcUbgRsxgL+uQUNDnn0s9yM5
/RPz9wgUe+SrIl2s2IYF7dtk7HdlSU5kQUzgHu29AU6wQLEZo94d+L1uo0jfEHtfjrlGtonW3UlR
cSxk6zqlfOPU47aNej1i4/fyNlgRJ/aUx/q9FKblVdARTmEQoLvOjE6kRywoLJYTcWZEnfjrvNWs
eyZM1+XM5FUzzjqNkC1NhVcEqa50jkMS7Gq2bUsif1nNeZgkzIc2eDblPivrZZT6W6LzGMOP9qI1
smfwcYabDsFjhUoCNLwPB6nRgk+u6q/9lu8b/fuLetJhTEzSTmrfHg/2+BTOXyb7E8DzZ7//ZOOQ
pZQaOUgmwtWvIWig77v95Lb4+K4wT+4/erCJnKjBdDDUCwTKCy6THE6fdJZP+pd/3npAbylJFcM2
T2690WqIE9D5FI7qqu1LO2TUJLfRaH3ybbzxrv+6x9/aXwiaDIWtFnknlemv9/gURzjK5lI9UMa8
sKl5N+nK94gMW0Tu/SJf3G9Ntz//chW54d24fCb/4AtPdLPRth9fVVX02f56I9/vi3fLyCmY2+kj
p3QClpF21Xuyi6PzultnlwTdL0XE7kpZc51XiksC0SJcOl6JuvCQv3z8LozfvYv3d+dJazr1m9RW
a677w7hVl2AdV86FtTg2+iL01veGew4JdO0cwtW4ya+NzQ0MsvW4Yd1bzOuC+ESP1pnneNJ5t8nX
zTEkWm8ReHfFojvI7rQ2ts4WXOamvs1W1x+/daHq/dsFfP/WTypoSW2itJQi7ssFCTyr5rVclTeK
RzaeB9rRi5b5Kjsr1hcv58tua7gc2OMzPBRn8QHPoOsvSSr+6rt3H7+rtzHg6df67l2dJt1GUdHX
lsm7CrfOInTnTbb2b3Lk37BdFjg3F7VLVs3aPlQb9YlG2vLj1xe3799f/q/n6GS1YamRpqYkxEue
i6U1DLtZSg59JxefbEpiVfnodU5WHZt0w76f0+lATb3ohxd53Ax4SPDoy+DJytXHn+r3X/XPT3V6
mJRIP9GMKu4OuN04+V2VweV/7wVOznzaaCMdyzhAJcZOjekDOpb38St88sVY4kF8VzVIWWnn1sSD
VpQH6G2rUiWb3/7kW/nsOp0sbo2SNnFvxe1hFN/KnJIkELv/vc9xcoN1+Kq7vMmmw9CPbmQeIHm4
c/bJVO6Tu8s6WZVMP5AmmnPsBqBgdScH+dseNa1zralx40E99KRY/z98LgMYI8JWDfbjyUvamqX5
ZdR2Bz37VgPK1UKafOuPX+O3X8+71zh5aFJyyKUq1McDsAT695dZ9klX4bMXOFkS5yQbocNW/UFm
0W5UZJfpJ5fpbX/86ME/uY/DiKGPn3IfczZYwIY66zfJniMCI3U3XJJFs8i+QwP/5cBKhDp+uNaI
T/3u0UGjTyiDGrJHPdAYzllV9wGvvRieSWvb9osLIvD5i4WxzFxlYV9Ki6t2KXb1i8fqQjvj1I5d
fImcdpO74fqzt/fbjZxAlZ+ly+mdE9WDrPg8dMpRbOTSAuetvs0Vd5Gsde8+X5wRK7/7RnQf0Lzb
aTcshk9WLzADH1+hk++9lxozrJyJWsLrvdmb5oVqLpxd6l05B/Mc95v3qK78RU7HdlWvy7XtSp+s
0J+9hbf0mXdfkjR2EuDpsj2Au1iMHp3N+KuxInp+172Om3KZnQMJXkvfgkfNHdfJEfzF68dP14n+
40el/fOLsE7uk6TXMr3JuTUxYK2qhbKIRFW3Tdybfjtut5EoWg7Atu5lpB/ZqlxbF+hBvW4ZbsHi
PKWfrJTCHf/3+/avx90Qc9J3l8SWHGZDOUtKtdTX5trErLkiYfI82imLl2BLVoJrb8sNTb3z0bVu
lwh++IradbK6jjxRJPxZHPxPz+7Xr8UBv2/z66z+/+vRPV/1zxavEAj8OfgXH+Of/7iOXuvfzuz5
qR8z+7dkfEWjL4erAfMy3+XPmT22ZoNMetHGRvAnOuY/JI3OHxjEbAsmCJ17hvf8wh8ze0LzHUUV
7TwBzlTRSJ7M6D+a2f/Gu8y4nhM5VmgUACq6xl/vpVkLs1AtIvmo2bRZ/Wwmg1V5KoKv5AjMYMIW
NZCgSNCCosFRz4eS/18Tv26CFOqgUzCnu0pBDYGdIk5TGtdNEj7ktbEmHeFKy+19KShFjfWomDoT
QvBFMxij1rAaRGQGo7+gIzg9v0HkhmHCkVO3qpTWkwEi4eb3TABJBskhhJc/z+FMuuf8oOoSCbAg
lUIjX1KIWG4yR5umI5IwBr+kBNZmEDwmem8XI4AmROC3M8AmB3ATeogMx6T6TRpytOPdHaMs4gyB
PdWOtJqBP0VOYjF7LdelAzRscOAwRq250Hyb9hXwqDYiglWCbB6QDGSBl6qbngh0gFPVoI5gfCZr
Owsa1eDru1hOMbkO0oYwbYZznNcxj5EyqnMoeoNamVdD2V1NAABvU7BXqeBfmZhEA4BYcmbsbGHN
KuVxHwhm1hAgDjDAaLU93tURsJYOYMt0OAFUILcm5SsBp08BIK7JNgaa6+SZzDamVJl2c1pp+xR8
l2Yh+iRg7vbNqDfIML4k3V+1gvoFJ8FcyuO0iZtpTdtyWQII6xquWRDADBu+88MS7Hf1oR1bWDK+
FRfr1oiMkaDPiHarXsrttrDtYNlazsTYrSWfsirkmgnlWxxV8xZNlfbVsI1bQ20Bu4vwqvEtyCpT
C4YSqR6CpK4qTMIOwvkK5gI5WLkIxJJENJZGsr5IJOS/BgI7yc9i1q67TlJ9Q2fJVIGBN62teWGJ
2K3AYBA2l+ABNOsgharttmrJ75AJZpfCh3TUH3ObGK9+7K9LEezliIgvvTK+xmR+qdP4Orf1tOhJ
Awsg6tI90vY0s7BuEJhci+gw4ue1pW4IzIKIFXOSjR7Wj3ZitCt8E+nSIINsagExlzpBukTKfG1s
iGl5OozcOa3j5SLGTBaBZmkgHYLHtPdyks7yMf6qE35mEIKmksBqJPPOzPN1XJSXvRaTWElsWqnT
UzUJUiNxlkggp0amYt77gq1t8H9s2rjBXF1GhLFNutScD81jbhiwLiep2OH9nCOPXzUKvJgnmaG0
YCSxkKSQwW09IvAfGHeQqXuFZz/YJmG4m838MNfl2ZiX34hjwZ2g94iVqympX96W0//sK+IU8MG+
UpCZ8PwbLRg/9XNfUf/QyPpCmmoLPtSJVN7gHkTDgIRcjAH/2lcAO6MPI+6bGSRiXPE2fuwrZGKw
ofC7WAKJHTf/LeKU/kaUelfOCym7GERCu2QXs5GE/bqvJHmJGkSO5SORnLi2DBuNDUEd3Usdd8te
T7jfBK4U8XWOW9a589ueOH4BNTUM60ubpdeWwJ2iOPO6tgWACgkVEce2gYyKjQ2FBwllwBRIUxUE
1URTngbBVIVE2OyyqtpWPcTkOTpqrbTNwLA2wKSUGi5rJwit/YR93mrsTQ68dR4kzyI5rx3Mwi3A
uyaC88rY/goV9qMjCLBGkl9OiaQwj5duJEGJ9QUvlvgOUnLNXRo/pBBlh0DGM2PEV42AzdZVA5PV
2GUCQxsTjDAJMK1c6sdQoGplRd/NsGv7vNvZjf+1dIZdhH5TFZBbfQR3G+Q+mdYAcANVekSjvmTV
UJ7rqRDpGrY3N/VdBD03sBj5DKVWuWaa3o4QdjsDxFZB7kOS2PtJQHgVPoMPlTeay+dGYHp7P4mW
mCYZQatAfHNovr7A+tZ2djvB+WUO9kSEL3sdBODRrtbtGxKYFFUGfcrKBgzClnNMVIapBhzhTgCF
pxnhlumsusHYkxKylgV6uIFBTHAsOYdQiW3oxIPAFA/wiqMQUkYvEMYV8JBKQI2TpH0woByTdFKT
LQz32K73qqIFkBYCVKdsDDmM5KHpmGFBTW581rsGjrIKT1kWYGXbgi8xmF25xLX9NQ+s68Cf1kQR
jsusyM6mQkWvo0mvJCyJlWxlxu09/2+TF4yy9d62l4WKWiyM24u8idNzZ8xuzPNCSUh5sjLP5Hny
SB4MPatrvlGWbGKrXps9BFNk98GKf7hXumpZFuhZ5KTvGcY110pfr8lOetQnZe0EGKqhRu+aGANr
WzDby/MMh0OIea1JVnpLf2VmxDSFaHgY9dvUNzV1VIpyIROzhElbq0GxSwwdNyROp4TsCD0ZzuKQ
OUhYc05xuPa6v2tng6aZHVnTSwcn5z6k3YUD3SEe3iRF70ot6VkE5Phm0qVMoXbFrJVtQxmjVavJ
q0QKCcFU/W9JML76hiMjV0jdXK6sMysf7xqz/tImHVGQRXFpBejawuRSKWF924DM0KR45YgVXrN6
4ljkemUzamLIrvPhyIa3LIlM9njDQE1fhr4+kHVhzW7cNxQ8EC3aYlxp5vQ8mgSjj+MTFIyl7Ey3
fNEMfGJpO0XSeV6F6zCRtjlCRlPQv+MUEZi/iVFoJjYBi6ONTV6fISy190pVk9XNNFllJthndgD5
g1lxBEgVTqOA+6wHcOVZmfGF3LWwyqaxW3U2lQF+OHwiRNzkFrKdxgsj5yGLGWg2dUhWOCQ0cqXh
GmRmtyBLceNU8oEAzpdmgMqJa3AaLQL3dMfTymnPMHZLwBWmBZUoRXUY+G7RKUq4YZr6pav7Yzza
XhPrN3IUkIg9QYJMLGCllLt6AphbJvS9IoVyRfzHtdH5r6isuDv7bNuSBeA2SKEogkdXqog+0LIL
X557ov0j5HKGvbBByYV6tx+sfDdKtD2yhJjWwEbhQCQoGGq8tEho5LVjdYA/+3tZLbe+zhgVl8oy
iVPWvzGXkEEUVxrSGTea66MuUzwG8YYgTRDV/cE355tKlKVqe+mr3Vld9QscqmSgUhPOs7oyzXqp
ScqWaNDeawiGZBXWVo7R7uR8Xtk5ValD2nhVyl+YJaDPU7snLcKxPHDK2qKbvVAIGSqD4FKZ7XPH
BqQ0z1K0MufhTDYTMlPwRaIE5OggRc5WC4yOUM3xQkulVZJOF6pjfyOqkUjr0mvMdtnUtrQCy5O7
g9Qep7a8aC37doyQQ2aGAT04MxyIh2r6kJB1i1i2/xY3HSQH+S7tcirZ4jx08MESmn3VAd1To/qb
ESDq6pTyEI70DeL5NlFUtDM9oCQSb5r/w9557baRrWn7VhpzXkLlcDADDLNytC35pEBLcuWc6+r/
Z4lStwLtPR4KGP7A5gY20Ja0ilxc4QtvSI3LUnKB/crOnWSW3/qiP4bklAsSuDXVcuJUxT9WI8Tp
e+Mc06Rjva45xvXh0C0cXNrxR4ZbibZj9BWdyi4SqGdlIY11N7V7ex7LwaFqINyQd8k4w2zsQadx
OhvarAdmp6ydcTxXSoC3hAvezKMX35djOHE1XKggZSJrQQEusDguhx4bsyz4loXqRYapkx5BJm8z
LJP86p4Ud1aDrbOk4bwy+8NR5fwqQSZO8Hf40g/S17zPbuKA8LdLtVkeB9TShu68jSD+grS6HtNc
m8VN2FyWdRjMjRg0sS5YyCb2POjxKIhp/YvSnyqqyf+EJ4LSQzfQQlUMkxVNRjzsbXhSFbaiD6hV
nCvXyeTWWLQXxRTc39RZ31xVp4jHz7NpvQpOjCXA5VW28I8MbxWe+st/B7hPlFBRk/p1gHvz6K+3
Bbjir/4OcBUCXMTUdGCDz4TPvwsn2gHaDfgNWujsCDbE3wGuUL02KI7YlE2x0QRJ+0+AS00Flqgl
Y4EKQ/oPRd8MhVD57QrSTRaPeBaYKhPyxdsVhAegJse8jfMW7/NqFmpoRxjyKkxTCQNgb67UKIcZ
UjtgMtUcopRG7IiQzFxpnaPaiMxpTl1o4YVgS6WsWDYhJlSpEmB2bibzsMnvPbVXFKzQGizBUbJo
pJkmNV8rgK9XQxJ2S7M0UYvSB/Mw7K2ZWUBNyAE+nZIANBPDU2mtWsqPGpVpGeerVd6lZ6UaImQB
kCpCFJqyg9JfWm1oXhYki0gAdZDq4pTSpY1JcuykZJKNw/1JP3lCt35u9xHiFY20UkIM0UOhLmw3
wYOSqn0zq4Q3W52GLQcSN6WXj8gIaCBZIjdVzl01pHrbpPwbVPyVBdh5kvP4UWjblojy8BT0bkeh
fIukZDFzEMPFAes8RBy3RyS3LiGF16m6roV+rimUdLO6NcDuhFeZUU2xwjhuJSzkSxP3xiAphuXo
w+woEecFOwu2/kmv15a+5Aj4Ogj55ugLHBrFeFF20TAjXPmmFdZ9hvgv5uPWpEQOGNbmBYJFN14L
FLzrylmLcHCJgLCMkLBRYQ6nCm1hNKKtJYjK27CLj0zkh/sQHeIBQeJeKBM3tbMIkCo2UucxF9rF
CqbySAQjS5CCcpkgsgtWWwgeB5j0TiIhgqyihmyjihzJyCN3QigZBc8ecUDEk4HSwW6vqm9mW93Z
Zj/N8O+bRwDUuYLRPMtRYc4oQiwSGWHm3ja9WYVWc8ZXH8dqq02DVq7nKCYhsRZL+KfrzUVeAXWU
rQ5O6Njco7l82/rRA26B+sLVlIfcjbDq7f36KHVVQhVbW+CM0S7MXnOn4MKRx2a5LhuZGqKMeAJ0
TwWCQ65rh1LjOEvPRs9FszM2Qmb/HEIInVGFmEPnTxy3s+ZKWEWzxkRhPc1N3i3aguz9fJqnUbwI
0IM2fdeZWKUDfDNgj7g4i3MB+ePMVXCwjGsN5G+79FqCTt/uz7XWXalGekGgcm5GNtJswaJRD5Nk
5nanDmPCJLrOi66emoN1ESXmN8tJzqO0wM1RC4eZG9JKAAoGceSxSutbwJvyLOtrLDDD3JlXllNO
M2Sf4HukiyzKT7FmWFZS8qXymsOo8E5qosiVooJzwlhHjdsVFozUDyknTsq+P09idTyy5fjOr4Iz
w8zTiSl31mFYWCeqk5wFdb6MJa2e2NWgTrMoGinKgHH1UMfCvFAJDpswOFGb4ERJ8rtY6YuJTUo0
MRX3i24Z35qyOleTSCc2zpxZj7YxrCXMDcu0xhDZo9ctNfXS00nmYBASKA7JVWe630aX9wcFBBPH
AL5Qzd+RDwC8qGMkdaJDdywfi1TT51zxiDs46kr2kLjyyVgnDtM6bWv/m+pql3VHWqEFzYAwdqWD
ZSzNVVTIP4HPHOtBcBL4voVuGCI2cVrMUCy/G03txhWakvB9UKwB+zfBWekK67I7emDUH7X0UpWQ
Zibco+rULGvhzVOktgu2qr0s/QYFDPWm9Stqc5I3sXL7KKCcMHGt5DIuwPhagXTkd/GXwKjTmVz3
R+ZgowyJij1iMYaQIoynZoqNc6xjTj3K/ikGRdIEHZ5+JpXxT290b1BCAzusEMpoAXZWvR8+lDmx
WabgR2N340xYJUxTE/OCzpPGVW3nC6vDc3QsxssBvZU5/oz5NHK8614L5o2KS5ObH8Peahd6Xh7h
FY6tq+J7VMGhMWjksdPYzIyFmwy3uBAIgve6qPpg2asA1+2uPTOb5ItqtCcjejEozWOL1eqLEq+n
NrOPg7yklOvCpGIRTbvRhBSFJdpgKfejkp8aHmd272hzpBbniHk9En+d1j2l9t6bW9AWJtUA4VdT
7jJstjCyAu/cYW8UySurRv3cw1ChZRHg28TJnU8sSA8zSiUxtkvWTd6gsaYbj1HNQRloZoZ9ovC2
QjO0hpOmaB1u3pVzXjqjt1T1jkAaHrMdo6BpdSXajSp4S1LbEuguRdMRP7PBW3N3lvMs8BsweAOC
MRSVzm1bspGWMdRlWZW3QaRcGwjcTzNk2hWrvkPWG3gM58KkqlkasZUDNuuVxajaP6jr98vSKck1
sx9liL9aamcPlQtQ2wkhOeGpMJ4hKWPM3Ly44M6jIsPPuhxCmkOiRCWcUF3K5k7SPLhmhPKwVTxo
fnoehg56UZJLdokVsAJ3aaJ7AzCszGmxaqsR9A8bXLFqTjDXNoCgyOyyPEixFsoWWeOtBoj9c4tz
UkLZtJPS6yEbfezpwu+YBt9jyT6lewMMyMXpKaQ3S9HgWjFQCi1aUvRRsg7z2ucqTnXYSIRGU3RM
UbCRlOpcCE96Q/ITBF42tROkayEaodTmncjYYRL65z9tKfXmVPnuOvQi5lIBst1LzXXkQ6rLoTLK
GBRdlijbcJpXjnuqU/DxA93Aq7fx7UOsi5ziLIvjjCJCGch0F0LKdeNcVpzC3+AT/l0oNggrfxNH
N/G6pJv9XvJN/NVLHI1qOo5HbAOKu8omIn6Jo+ET0/iTwSs6mAoBXPw7jtbMAwrBSMHJopCL+Bs/
eikUGwcWppEUnk2LnW/qyh81IG3RYHydifFgR9Ex2eX/FQrP7zIxPB3lIk2y5gwLZA4j/MHKgYOH
QqA1kVv8B8v4m6G4wXTI3NOgRMjNUDpMFdL2Al7uoeW4ACMMDIocQPmVFBz7TXg6WGM3oY53LcvR
QyuTzEpZCyJf6jBX7dRTzB/AVcumN02q/DztZVzDqLxW+q1T4DJi+w5xj6hlONK4iHVJmhedT8up
5ETCYnUS5OFXw06/50P2pfUDZNfqCv6MaX4t0Q5P+/Rb7Ujf3BRHRaygNC04bSP/hAbZ9yqzE2QR
rYtSMzCB9ux5wgebDHFgLuloASrJ7pIBdhZGXSPDDtG0iDuMubovgwrYGDn4ha6P9UwN8eHVO4Kh
SLIfCh9VJbBmJ1Ud33TpCAIAgS8jsq+ywHkoKueCDh1CHwWkVdkL67nbdWd23t7KUXrv1tmdWyBV
kKX3tAcokUelN2/SjtPaSi68HAFhuER66H2PVdiYeWzD78ARnGMwu+8U55SGaD1LBpxkchU274Ca
1ILNDq1WsU7qCqqw7gItj2cjN9JiyLqFXHZHnuOsPBzx0LHC2CR8RNTiRsNEEhH228QbkxkB6Rnh
69SRS5qfHeVSVcY0Q+0LE5Og6tR3+p9x6GQzrOyWmezK06akKp/I6jfdM670Gu0/O4hudE/92ahm
S81Q/LnRNAskN28TSm5VRsEFxZ9FU+PvR6IUkmzFdxlK/gs0Vc5U35BxJ7LoS2PfNpF1+mNjtJAt
mEoYni6L2qeCE0FibXK+taRWoWka5qzRiaAKbBdNdAeXbpUfB25SHAnuGjR1qKsUza8syEFdaiya
Qi8ohbg0lSOyIIITSiRjBXeiYcUZFuIR9sgiHiq+w0TNvXlXjtd4lfLU1KYD0S5cubkebe0o6CJt
YqlkVVXhUtWJ8ehrm+iecuqtjYDkxDLzH7KS4S2SudOy63tI7MGKcjvqZJK/knHvnklWlE5lOYMk
Iy8VGdGPSpacFaLiA7pp9mMSFid2n7WTvArzOQzdQ9MbhpnatOncS3q8u40jpLcQL6pJK0yt/lGR
SE7lUqGKOebjRUJV91hPI8IyMBPeYaw6vjaLou6basNKnZdS5QdfmQa3Pldry+vmZmBoC9NN5PTG
gj6TocKdjxq6eLGgLtmJdcElGZgXQ4HlnVb03h3Ux3kVs4Qmuq+7Zzks1LAmnrJpuspUc3yLKMwv
ZOH+afSX2LHiLFUEiFhbrQbtDEufGclTVRw2loyXZxHgUze1ZS3GbnnQ8BiML7PM7IulHGrqbdSR
/JzGMOY5Z2JfmfWmdS97qO6Rmw4lzejOzRxhL60bxTwIVMu7kWsrru5Ut/UAFmujiiGlnJjud8xG
ff1URo5PIg/vm3yDIPr3dWn8Fq/zlXuy2QbYEX/2931pH5iaQMJQdAC0+dpt7em+FNZ7BqrPtFZf
AXb0A+QmIVuizPHUP31Vd9IOIF6rJjUnGYodV+ef3JfiNnx9Wz4Zt2HUDGxIoeGivwPk9TKKvWWZ
cluKi6GEelfhfsOV8iqMuNgM+FprQ3ny+Hv3IAppuo7PILggWX93LSsxlB0z1PMzuTGcL0hUUOdI
sPwaV1TEDGLeOm30Q5wrx2uEBmFPmor+LbQt7y7PQqSqvME5VqwkxyesNPoLf9CutCFrs5k5eNhI
tVFYad9bDnL7onOLtoUHRiOsRYGPRo4Uo8sTV8o8yPNMnWdd3EDKkzCoxcXLTYnwB2cuWsryrErv
jVjvziw9j8+xH8khnuYU+BeZ22tI5pMmxEK+g2wm087lVsh6tHF4XtZRR6sHipXvXGiK/GigBZIW
3sJFG8RCRwOf+6UhRENUmU8BIoQyubtwkrnRJ4fuMBQoNSSBKKTP4qH46WPyNCJHoiBL0mjtNT4K
6FzpZXhnRVk1E4SMU8nKy7OiMsyjOHBo+iToW48qCFNJ0n7qYZWudNfHab4ugDW2qGgHsYTQCbKj
9JLOqrRCG1O1SR6CUV3WqfVlUKRb+E/FDNIf3cu69lSwSxqMKA8VjjnNeWztdDFEjXxlZJZfSr3G
rcW0U/+q8loJbRSlBEMl97c6DWxmEYURFA6acqZL5TALjfGqMGv7yJcU5ez3a0xlk71fy/hy4MQB
DkFAD9gzr2GMxVAWnod+6RmKomtyQeV6vEZZGvBvvUpXLujamTdHeGNezsHgHukLba6u3Om/FFH6
AAOGt0NIiy6yCHYV+x3yHDJy13iVn525qneEr1s/jVBNoGuiQxu3ImdetK62KFWTCw2x2FPPKt0j
he/IjIpkOligyV3cAGx1/F73mbOoVBdplzpfuPb43TLgk4cueCV37L8VcY63WVmg6V+F2oxkWp0o
PuUNw+/ng+YsOwU4hIsgKsY+4O+c1ahRGlXVJZRyZYJgu9DUppWepCu0XGeZplOSkvN513knqgvc
K0oDZYZxA4poYTVjE591JPjLwhPNSs374nXZStGS06a3ZaHivZQjFprlFNCe5fD691/x2xr5M3BW
RsxeRw/I1N6rbDmj2jl54pZncov2HAdBzIeX0yn+j3MjAxGnF/+KZL8dNf3qme++TalvrbLFpeis
8LQ7w8UBmtY3WAlrpSfNaVa4MjIqiJVYwMuMuKopiKTDyYjsxMSWjJMssG/lABWHtpJ+clcv0LCD
t21eyu54b3jF96SD11ygib9pSf37ThZsz1+nsHdZvEUUVPzNy4WMxQ/7EpsexSE/RDnhFYJWPaBF
RI6KYQJmCwI7/oKgtREFNXTAT/T3FGFR+k8Cax9oioaADEQ9ejcksn9yIdPreX+MUYk2dcpMhAyq
bTm8idfHWF12YRqrIdIxNalobtd445Q3tYozYCh8SEacDW+CVomJZJPkuhJ+Jcgp0O0fXeQeMTPx
HGFrUujamdDpmhMz9xwr4aOGBwNYRfxQYKb/cJoOLxPhlRIJ1xTH8/IpcBxr6jRudqNjrlLKxJ41
dist4vvniVdAZRBeLIAB0mWDMsXca3FqqRTlSyK8W2I6/hhH4jGJ7LSGvYuHleGiF44v6JIE57Fw
gSEMQjXK7FYOWtTo6AZfCuEZ4wv3mFr4yEgRl6jCFJxD4XCxKKmdFa1/0bGGLFAnSHZ2OaZbqO06
K/QTYJR71m1W5QTmeUjTq0lOGto1kQPICf41dix4k2HGSc06P5IbHa1wT56rXnsUlRJe6fZXZvM0
y2gByTXXVUYJdJJG/nej1YGLOP0EnYpvXhF9w7grnue+h7S7F1zXOigJ+v8gOFMFeyUPG5+Rm14y
k0fNw8WtT80js1RpY410wbBmgDQvGbjNuugPIgBzxxcdTh0zv84k90yPhx82wGNN+NfqufbgDtWF
VKXtSWQjyl3WUJeLzj7TRocqnzueGRlfaZ33M9Su6TloP1St/DZ20b3kolyS+bhAxv252VHso0JZ
o4YhI+DRqYeofMAnxi5ohnnuOWpE9VRNROMfXFKfAFiCYjQxFP8u98ZLXQd2XFj4o/ajNGnTCKEJ
SthTE0de+1wbSFZ+iL74cGiRmM8t3zsGUztSeFdKvDwNSrC+ZTxKIJGCxga0LA2AKrgjEFYwqK3H
R8iUlhPLoCWmJsqJZhnhJG5bgAOywo1t2MFyMKK5XUDsr6RRvSoNo522dglz2ovuCzXX0fgIhnmQ
DM0cP7sFRRqS6WhkkgnvDiEawv8xgPN0bPApyiMrROCv4jTtWdn6YW871SSPEvkm9VFzcXV9pWRp
jwI3cjgICCcz1e0wDZLTiTa4j8OAxSauWoeRYdyUtUtvLa2nVqRNLcs50ysjPuywuJokXSNPrNg8
lOxSP7fqgYalXdZTfIRMkBH6dRtl2dStjRM56JBlTQcUtSTjqIyb4EgZsuNCj5XDIgv4lmqYttpt
pbjnUuctutHqcR4OljWqu+AqknJZDVSKqQbP7CL+4cfGws5ytjrbJM+tnolNvud+ddRbXX4YSZY9
AzWhnPug/KhRSP4VpVTgwToF+cZ2z9pCwnrKMYGGOSMtlZZ1TogAaLK/HJQKJHiRU4MZRlTFVNVd
yUWtz+0q05eD5zozGS2Qw7xIj0GdI0TmNdpRZXrjUREq0lLPUMnJivzSlKiSj9FwJMnebS4l2oUa
ouXB6RcdSoHuTP0oP5IoSnm9Bwk2zO8KK/R+VimCdz7b+NIKw0cI/bWKXoRGK+3p2vj3/Wlw4fzm
/mx+bEEKi795dX9yfQIEBomLK5Ao5b4UgLlaictkJJuAC1PPfXV/OvyEy5YSsMqvvHEq4moVl6rD
jxRhCPJH96cmvy8A8wwkkUxRbkZQAOGRt/dnXJfojGW9fF6H2S0NSKyhI006VhGQm1DZzi8NjnMB
SnPO+gjxuyxD+6Ou9KMyM1IgRTQ/WX3GSUnnesKOEFYK5rLtmuvY7vPTcpSmeQswoLbvlRa/Ccw0
8ThrXHwGukPHtReBlcuznLpjI6SNU0c0nzvs7tJypQd+ekOWgltant9jcXOcNfmXUsEBTEccZGJ6
xX084LaZVTqd065b9XnfT70x89NLtGeXSqjrF5JmHrtm58zrTnanSSehC6AIBaS4uBjcem013r2b
2N2COxU7niEvDu3UQYo6k65qrCkuHMQtQWD4kDg0KqEutgEzNzD1KT1GxHtc3MF7vaQQpz1UgXnp
G8WZXWORnfvRbaBqN3Xm5DMpVB/zCBCBO3pfSip1Abu+MclMCAZWIMoeOIdToP4+0m39ZSqHQl7r
Lkm943B0bpSQ1MUYQQSXqnyTW6EKBkE/qv28nuLIm6KuYKyHpkJE06pu7a4h30ClZVJQDO10+YK+
noIGZHAZOK0ykRJUp46GAS3GARqBDJ1AhlbAfXrcCp6BFlZXjenQIDRk2HVlUk0taAkhgAUuxxgb
UBDkeAiBPk3B+6D9jE9UtLIzHCyCtLLPHTUflnFqY0ZqhodKWjhwO8tHtWjliTNa3qXURDJtbuPe
UdvorBjUn3FmDLSqzEye+aHqnGECCKE/RZfKjVCTQtkjWqQU+I68KDv3k5KCZmyfd1IGisB0SCuG
DFlNXcNogDp+qZ7lSPNNGw1l6jogT1OaDMyegRpO35LCKc13M/e/RlHUTMsGYIPqp+T3PvOGGxan
ONAQ4NJfLVg1ipv9SDx32SiafqSn0qVi5z91H3ihD+qi6O1pSnY/lesSh6+4OMzN5KivDUR9tPNB
ic6pdvdTJwbdKmfhN7lzvxgJXhW06NDMlKwvZe0h/KeoJ25OPUKykVGkAY1niCxfJUN9JHN5FVF4
FQT4NTbxHRqaP3Csy6ZKpKCOU7Vndhk1s9Ikjc/k9NSwmVxDl47AtkBRlEmIG5wNIbVYJ3Kh3JMr
a7OqHr7lGvJRrYLCQkU1N6sx5RYadxEu4+DF5bMu7n74zPXc1HKXxnpQ0NbJb7U0P3WIhE07W4S+
RtcYE8ha7hZWSWNHirti2lvc1lHYIJoXFYBxUGRMB+OhFtD0AqJWYocnhVuq0yBPoik6qkiQVd/t
sDgmqP6iRONXBQFH3h/Bm25MnM45Lfs0nvGGZ97YdqiLRSjVUD/HYfKqcrTvQ+3k557ux1Pcu/oj
KRqkwywBNZRComqj4hrhmEc/j65sMzWmOQ6JNvButzp0LUYZS99YJZY+R7e1AU4mxcBV1MtQVtOJ
jSsx/YdqnEiZFeHcwyIe7Lidqp4FQkqAf7ssnrl+TIPe6y/xdIcxYcj39qg88/T/P7hnn9/iVp3m
v0mP4qdP9go32fy90vP/6Jde2JTbB/oz4WeSzjc399Mbe5Ke/u048RoHr+YBhqlmY4YNMxSOpvz0
IvmNs9R7/rGkqOoBhWAuT3tT+X41R7+ahd9/wKvH95rYH8f57Zt/34tWiDd2nAT8x+AyiSxnMwkU
Ct9OggweVGMKBAuKZ/0fTwKh19PKExZsBq31/8Xn5wP+swasAyoZ3CAKlm3i9f7j05bALIWGAJ//
6bUPk0Ao+c8sKE+YYIV/23klgPhFZhwa48tHfbMSFBtDOqzZ6UHs6STI7ztUf34mOAdI1aoaAPbN
emBa30wCZ4IMbwfq5aby9n+8HbasBJljbMeVIL5oU6Xl9nwwfpgEBPFtMU36Jn3at0kQC3jnSbCw
k9UB55CqPb24b96vBNUCJg+Zcw/OxW0L4X1t+M93w5OXu4NKgrWZAzb++zkgKIYk+3wR7dtCoHi9
8yToCl73oin8shBYWu8nwURLwuCa3NOVIPSAdjwScMcAkGYBZPvluQhuTYERvZ9HgjjOd54E0AsO
3zSKItu3A8EC3U4LEvW+BowivtlxJdDhER0h8Avv94HMp3+SOdnEUptH7d+RINT/dpwD64CAmJDZ
JtcTry1Ro2PCoCKz2KyUpyfu31TIm7tro+r1d1L2R0kUMFeFQIAu4PY9ITqMRNiKIlzUmfY9nITN
ibXDJIgrQuAsVHqoT68PsYJOWKlrxAp7Gyx8RjptIbREp3MzByIEe3tPcj4IOPLGje9p0+zlehDm
SjueD6aQAhH7ggz16fV+KpQDFKFkYFt7e1t+RmWBuAncj/KcOb9fD+K2tCHd2M/hyf6dDIKXuuNK
0JEhU/Hs0p9XwvsImqQa2y1uVGKr55tkLzeFvHtCxU0BnASXBNb824NBJd+0FWTS9vV0VHYOGSBP
iw6hDlj1/afXD8BvwhQBvvp8VuzlCvjAOv/jdJI5UCzTZEP84kSguEIowaGIX9A+bwZl9yia0jLU
doOc6umTiqLNmz2hGAeklByehNp7PRW7l9zMA41KE+qJv7gsRQmWnxFAbo7jPbwndo8YjAO0ikUU
vfm6t2UUgHkdIAZ7Owm7h9EITJBbgxvc7IkPmwK9TzR7HR00xZ7mEs9Nkh1yCQ1KoZCeM0COPL3e
RwwckgYmnaYl3Ij28qZ4zvR2mQTnQBH5pGU9H4/vE2wV4gc4ZA10zb5Owu6ptXUAktYxbfM5MPiw
EtgvNlAhBeDqPt8RAka+WxhNgq07TzRWc7MpPgRR8oEB3wFDs82z9u+OEAyN3SaBfjUGXUSRz8tB
LP23MQPNKzRzwI5tgvU9nITdC9EmXswbvtfmkngfOAnYHT17cHX7mkyIDGD3lSDsmgmJfjEJBNLc
kzIFyj09Hj9w7/84m4BGr2nwAsFfbibh/R1B3IjQnE15YW/PhM3ltdtFqZoqKrDwNJ5eW7YDmg/Y
gzmbVbd/Z8IHCsufrwT6MjififX+7kTkMOAHFrjXfS0+C8TwjoeBRipJVdU2f1GBR6TCNnBHMZ+b
P3u4BHY/EUXAqJAuc/k9vTj33tyNog1Bb9LmYtjTE1HQjXdcCUwC7GqAG8/1lQ8BI3cjZWl41Pt6
GOibb2eHE5EiE+1XdA3hmG9fCYh7o9mC7sq+ToJwldtxJaBFjkI4p8Lz3bjtWhAKM7K6iaf3NWAU
/nE7TgXlVQBbkCqekQvvp4LjUeXqYLr29GAQtiE7zoFz4MAzoTX3fDC8zxworFBVQSZI2wTo+3dF
CLHRHSdBQ6tJRrz/ucL2scRGvi0oOcrergQhxrrjJNCEgZNEr2FTMthWYuOHMknmJqDc17hJ2728
YnNRgOfRQTI+vT5sClF0EP+jLiteezsVuyfVT0B3y3gyMH8TNnE4KtylnJ7Pxfl9PSN3jyAtGnQy
ND4KKJvX+whS8OFlgIDa3l4Uu6eTFJ8pPet4Xz0t+Y/Hg8JlSavGcfb7eNB3Px4gRlj0ImXlueT4
IZgGCU61jfLDvsaRQnNwx+vCoI6kmhQQ+JzixRn45nwQHRnuU9Bde7spNm9sh4yCjgxoPwi0L2fg
h4uCapuKpr2DXKOY8P2LnvTdQ0hdnH6i6/SL3r3o0jpw5dC0ejk+93MqNt/RbutBAHZAQv+qL6Mc
iLIjRbd9jaafYWe7TIJoRpBfCuW17ScDxyNKbiDw9/V41Hc/Hi360Th7GeavUPG4UGKlAH9i86z9
OxmEMNhud4RANoFKIGx43vhbjkdRmuVg2Nfj8blBsMt2EELAlBGIjH6xHWSqTqqCz/K+1h8/yDv+
eR0elDOpoyb/ii701JGh6GTKf7Ad/gd75m/u8dQP4ocnajLWAU8w9g3l9l/+wgtv9+MAr5iWT3zT
N795M+SPm7E3fEzx3/+1fkiCdBZUdRnc1+pTNPDqpy/RwdOTnv/++SN+fPibh718rpd/XOGQuy7v
ESJ4YsQ+v9GNe+5/x5joPqzf80RFh+Dl38Sz//M/3r7ZV2fB70dHKf3xZSBBxd2QUAXF5p+P+r8d
PFk/ZOXLQK8G5/TYefAJfobb3jjpws5jT9fxuuUrqV7GevXe2fS7j5/FTfXhKyUPoyr0CYOndbn+
a5pV9bZHEMjs/IjZY/zXWVZunX9ihJ3Hn8d/zbKSxfMy1qv5507aefxFiR3JtsE5zHYefBk/punL
OK/e+Gds11WT/Mjih/rj8ALXvPNbP0zyxzJYxy9D/fPuBU529+HTYcukC777zkMfP5Zb5lxAiHYf
Oki9LQeB8hl79WQdbTnDBIti57d9sq6qx21z8hkb9CSr/vrv1HuMH7fNzGds0dP1Awfwyzy8Woif
sUVP12WwbWo+Y4uKsfNs2+ku2Io7f62nj+lDdh9sO70EWPMTxi/vHx9eBvpn3gXdbffBM977yziv
xv6MbXqKG/SWoT9jlzJ0/Vg+DluG/4yderbOtyx00dPeecLPHtv1x9jRwA7wEwY/L9ccAS8Dvfo6
P2OLXsTr+8ctsaOoTu48LRdxk2wL7kR/dufBrwJCxyp42DIzovW58/jX6/uSlCCttyx30Uv7hAek
f00eMbnY9oDP2KrXa/GAMl2XD1sPMgEV+JRPMQsevW0f4jN2rfgQC3bAfVDdb3vGZ2xf8YyjbF00
224r7TP2sHjCSRNUf53/CKp82+f4jM0snnK6rh+3jf8Z+5nx6/Vfk3X5Y70tZhA1889YTzxjipPU
lsNatAs+6wllM74M9s+ZKrpguz/AX2/NCQVUa/fBqWFsnZpP2cxBFQVD1ry8z1cT8yl7OYvX26IH
UfDefWIITLa5+Aqt9d0Hr9eIPcfrpnoZ7NXUfMrWFWWWLfewwDju/O5/a3D8VArbobR1Q4wf1FuC
NlEo3/2t/85Tbue33lAgSrbV5UR9e+f3/nuDn13f/G+sCnYe+tcqzr8feltZ9u/u7sdi7Yu647Y/
e1uLFr9xHz+uy//6fwAAAP//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IN" b="1">
                <a:solidFill>
                  <a:schemeClr val="tx1"/>
                </a:solidFill>
              </a:rPr>
              <a:t>Sales by State</a:t>
            </a:r>
            <a:endParaRPr lang="en-US" sz="1400" b="1" i="0" u="none" strike="noStrike" baseline="0">
              <a:solidFill>
                <a:schemeClr val="tx1"/>
              </a:solidFill>
              <a:latin typeface="Aptos Narrow" panose="02110004020202020204"/>
            </a:endParaRPr>
          </a:p>
        </cx:rich>
      </cx:tx>
      <cx:extLst>
        <cx:ext uri="ext:featex">
          <cx:featureExtension feature="mp" drop="onModelChange">
            <cx:offset top="0.0015255659818649292" left="-0.26279425621032715"/>
          </cx:featureExtension>
        </cx:ext>
      </cx:extLst>
    </cx:title>
    <cx:plotArea>
      <cx:plotAreaRegion>
        <cx:series layoutId="regionMap" uniqueId="{00000000-856A-4DA7-AA11-35D28CEB13D9}">
          <cx:tx>
            <cx:txData>
              <cx:f>_xlchart.v5.6</cx:f>
              <cx:v>Sum of Quantity</cx:v>
            </cx:txData>
          </cx:tx>
          <cx:dataId val="0"/>
          <cx:layoutPr>
            <cx:geography cultureLanguage="en-US" cultureRegion="IN" attribution="Powered by Bing">
              <cx:geoCache provider="{E9337A44-BEBE-4D9F-B70C-5C5E7DAFC167}">
                <cx:binary>3H1rc9s40u5fSeXzoYcACILY2tmqJSnJ8kW2YyeZ5AtLsRUSJMEbwOuvf1uxk7VuWbpqVKdWmpma
SsSGmnjQje5Gd+Ofj90/HtPVsnrXyTRT/3js/nwfaV38448/1GO0kkt1JsVjlav8uz57zOUf+ffv
4nH1x1O1bEUW/oFNZP3xGC0rvere/+ufMFq4yq/yx6UWeXZXr6r+w0rVqVa/+W7vV++WT1JkvlC6
Eo8a/fneW6bie15lYvl+8zv85/vrZSWyd15eZ7p//26VaaH7h75Y/fl+YxT8/t0f2z+2w9i7FHjX
9RMQE3bGmUUZNQn/8XHev0vzLHz52kAYn1GCHJtx+Ob5ZxdLCZSjGfrBzvLpqVopBa/14//b5Bvv
ABPx7/82AY/riVjPfAgg/Pn+Yyb06undvV7qlXr/Tqj8x0xVvZev3/Lj/Y9p+WMTu3/9c+svYKK2
/uYVvNuz+t++2kTwv6D77xTm9Gl5FHwd03KwY7/gy3bxxQxbzIaV8xreN3C0H+DtAUZAvE1yYiDP
0lV2DBHmZxSbFHFs72KLuIMYoVvgjuZkP7Sb5COA3SQ4MVjdWuvVESQXYEWYWCa1DmhmdEapZSOE
0abojmZoP7qb5CPQ3SQ4MXT/nRYiOwa8zpnNCbXRIXgRP2PwoZRZm/CO52g/vlv0IwDeojgxhP1V
+m6Rg3X398uwhc4YtRjDyHmW4Z3d1zrDpkVg993S0G9iaj/Ou0OMgHqX6MTQ/rdcPuXV3w81cc4I
WFEmdkBcNy1oEwQZY05Mbq4/W9p6PEP7Yd6iH4HxFsWJAXy/zN65qypbVk8iy48AtHWGTAdcIkJ+
wGmSLbwRO8PcMjnjm3r77YztB/zAOCOAP0B5YgsAvOhls6qW6gjYO2eI2xhhxp6xB629Leu2Y3Iw
28AWf+1OvYmp/bjvDjEC8l2iU0M7T2t1DMeZw84MQIKBdgBqfGaCHrC5RbegHs3RAZw36ceAvElx
YgivA01FfhSM2ZnlWJhRBz9jDFvzhjiDDc5tizmYmc/22ybSb+FsP9Y7I4xAe4fmxPD2cojsrSVa
6WPItXNmrq1xQtgBtxqfIWI5lKGtgOdb+dqP+N5RRqC+l+7EkJ+k7/y8Avv8KDs3w9ym+CUMysE4
2xB1DFY65wiAt3/ogi0r/U2s7Ud+d4gRsO8SnRjmUzgWOIqZbp8xgmxKEXqW823A1/EVh8I/aGv/
Hs/Rfpy36EeAvEVxYgif1/Jbnj7pv1+oLZBZx0aWtRv5BifNRsSEg499G/dbWNoP8s4II2DeoTkx
oOeyWFVimf79QBMMyhk71CLo2VDb8bnpGQVZpwgiMOvPlvZ+C2f78d4ZYQTeOzSnhnfWH2Onts8c
E8OJFns599hR3GsnnNu242wZaPOR/BxA+DX1GHRfP39iyF5C/OwIUkzPCPtxoPUspGsp3bDBYEte
2+aIYIiTv46ejOVnP7Ib1COQ3Xj+xJB9qCFWII9yoAWZJA4EPi3rOcy9gy5Y2MTBCDkYtPdrdN/C
036Ed0YYgfIOzYkhfQm5S8cIgdpnIJ6QMWLRg3a1Dd/BqfS2EI9laD/Gm+8zAuBNghND92qZHOG8
koACBhsLol0vZxs78W18xhFFtsO24ttj+dmP7Qb1CGg3nj85ZJVaHWH3BWfJgmQDh7/EOnfOrUA/
2/C1Bbl+m/r5ajmWo0PobtCPwneD4sQQvs6PEvBwzjAkizj2i8fLt3MNwLrC2HE4SPcmvmP52Y/u
BvUIbDeePzFkr3L17t9ZuEpXx9h5rTOTYkycnzvvdqoughVgEchCAAW+xwl+I3P70d43yAjQ95Gd
GPbXyyc4dD6C12TDGRSGFE7I0f4J64bXBHrbtOHEwkLbcj2ao/1Yb73RCJi3KE4MYUifWJ9IVfVw
HJSZhSwT2QePpSC3yDFNvmV5vY2r/UjvGWME2nuoTgzx61X2lD8eJ42In6F1gIuxl5DmdjAEE0hA
YDYh6438tbv8Jqb24707xAi4d4n+B9D+PYsbb70u0fj3z6neU1rz9soaDOnZNkcH4iFgj9mIYYZA
cf/4/Pzt5/oayNz5VQz0DP8+nvbj+5p24x2fX/H3k/I/Vzxzmy4fV8dJ6QRreX0m/ILg9qkDRmcQ
pYYzCfwM4Nb+O56v/Shu0e8BcuOvoEhsi+LEcL5eVY9Q5OUdoQaOmDa3f7lO24Y1WFiWgzjY1dZP
C2xTIY/laz/OW++1AeqBWrjNmTg1nHPYdP9+mCEZH0LTHEKTLybWTrmUeUYt0NlwALGpiq/HMnQA
3w3yMfBuEJwYul/y9BinhlBOw+DEEMqltg6VQEnDFwxBPsAmqmMZ2Q/qBvUITDeePzFIIaSjV9Wq
//tlltgAKwBLzJeE6z1bsE1tyybb9atv4Wk/wjsjjEB5h+bEkF4si2OEOCBwxeFICc6MnkMcOyjj
M0jkAdl2tsqkxvKzH+EN6hHobjx/asiumuVRCtAh6mxj5hDzJXy1gy0Y0QiS6K3twMZiNEcH0N2k
H4PvJsWJIfwJbNb6KBFKKGJ0oBTCPJRSvT554OAm2eZWxs4bWNqP8fYAI0DeJjkxlG+qJRxAHGEn
JpCCB66wYx8oR4eyN4dCjaO9nXw3nqP9GG/Rj4B4i+LEEL6FBJ6jFLdBsQuxGaTIv8Sjtg8QwQ2G
02FwoMhWxvR4jvYjvEU/AuEtihND+IOA+kUlno4jxtwxKSEvKXg7WVogxgSqGyF7Zyua9Sam9uO8
O8QIqHeJTgzt++VjBd1/Mn0ct5gy6DNhQVHqj8+OTK+DIut/IC9z/dnykd/G237U94wxAvY9VCeH
+7pQHRpXHQN3SKKmeN0/5kCWHkRFLBObUDyxe5z4Bq4OIb7zZqMQ36E6NcTzdHm01B+wzdZxkp9S
vJkiALXKFneouYP2aI4OIL1JPwblTYpTQxiaT/hiFR5DpKEGBkGjPqiD2YpwwpaNbOJAR4oXYd+M
c8Ix/XieDsC8M8QYpHeIThDsKbhbj0I95j/nfM8hLcSs3tqTkUGiB4MCl1/nitvibEFXSuqQLRtt
DfUvjsb4gIfh3h1mJOS7hCcI+0W+LOtj9eMEIbcwAPzjsydchjlk33P+HE/bMdiyd29g7jD+24OM
RH+b7MSwf1hFS7kcI1lvE3lIzobSRRvyOw9UK0MbVmgqA9Yael4XW7CP52s/4lv0I8DeojgxnNeK
9KoW6t3NN6GKY+zmFGKm2IbAN2j69QcA3dTxkI0PPjp0d9yj49/I2n7MD73jCPAPkZ7gKriGjsLH
wP9H6xnGIJZ2wDEHgccOpAhaW6K+nvvRTB1GfnOIkZhvEp0e2pDe6y6rb8sjnZLAnr5upH1Axa/z
AbkDSh56Sv34/DQpn/MBAfe3sXcQ+z3DjMN/D+FJrgEvPc4KgNAqVGdAbd2LXb/tyEFQBmx+BGeh
WwH2Z+xHs/U75DcHGY37JtmpoR4tj9JrCqw66N4Lrjk51C4QQ0k0dJMES2BL2EdzdADrTfoxMG9S
nBrCYlUdRalDk27bhLJ25zl8vq+oEr4EtQ/Btxcz73Xq6P1ovg7gvEk/BudNilPDed2L/Rip4FCt
QTCGzp8vm/ce1W1DvB388m1JHs3RAYQ36ccgvElxaggLlYg+r4/gg0OiKIGgGv55VQY4XpsuGT6z
oWM7hWq7LW39Bp4OoLw9whict2lODWkokz5GrAU6dVuE25BweCin9Eek3bagpHIL59EcHUB5k34M
xpsUp4awXmZCpcv6GNXSDLoZmHD1iX2olQXkHZrremm2lZQGlwi9gasDSO+OMQbtXaoTQ/wBLrGC
i6uOoLyhFSD0pYHQ+YvzvJPoAJ1LIIEYnOuteMobWNqP9fYAI4DeJjk1lGtwoI+RvAS9h4i5joAf
LqnEfO1C060d+mE0Rwcw3qQfA/EmxYkh/KX+doRTEGg/BMWw0MURepT8+Oy0H4Irj6D1kAM+9ebO
PJaf/ehuUI/AduP5/x/IHr6l7tddf/5SLyc/bgl8dVHd77/9MTlwt+EW6Uvx+Z6D7Z8YzJ/+fE8h
jv3qnHs9xkbV+uuS5GcP+D9UKwi//PneQAi6tq7bm5hwHQ6F1rwwYLt6/gpbkK8ELjTs6Q6UVK+D
4hnc2RP9+d6C3Ba0bntjruuo4aYd2M5VXq+/grahkOnoQAN3CLHAPs/Rr/sbb/O0D/Ps14S8/Pld
VsvbXGRa/fkewW8Uz4/9YNWkHE7foPeVDWk2BE5oIUhXPC4/rNuawdP/Tw8kL8q67hZZS/ikaYOo
cHMSs8RLWNvc2QbtL+KuyZKJaSb6i86t5mNiqa50Fc/Kz69mbx83sKFtcwOXjEArNihKhQv+1tva
a26srC8SHtXNApcZWoTJkAVuzXI78rpG59xtWqv+wprCEG4lHV16ZVwloRsMilke1D1nT1xr8wbG
iGofpyn6OFDDQbPepsEK9Qbqpr/nGIP1vMMxVHNBBypOGbTmNbc4FiwCbHu9IB0NQ9/uhvRjA2lL
ZKpZn1O36TsU+4IFjjswuxdun5hkJpuqR37V5Pop6pRCnjAK6iu4nLNxtYzMxmUVTcJJmMfRbVLz
C6l4pHzQMPyTisrLJG1pNxHKsK9FFTVy9vu32oUBKsBN6E4LdzhBFs6Pl361KFhvhK1RpGqR6YB/
ykMHYddKMCyNIqu727ar+H0RoPSv3//seq29XotQiwwN6hmBGyrg5k5M1my9+llqdqFVqDBbZM6A
FiiJ6kWmKk84QfTp978E4rPzSxxSBRk0BgPF7GytsyKz+qGsonzhFKa1LNu8SmeBdnrsJkU0Mcs6
HTxi9k7uxYS28r8tmvWi2HxRWCjQDtaCK1Wgo/P2z0PKm4jCTIoFKxO6lHFNl0m65oEOUk3sKs/d
3gToZ21attgtk5ytdMrVvOW9ddXZpDI90sZ54sUskx9JVWDiR07frwqjKXzTGCTzKM+t6pwSe6jd
38/eupn4Nv9srTbgUAdu2YQK1U2gTLumGaWBcY3qQC5FpVXoIiPRmeWSvs/CizYSybfQ4cVVN5TR
1M6tTngYNey7ZsOQe30UMs/K42YlKsKeGlpE7OL3TFp0B2RiEVhEa9sZjhwpg+319XKyK0eYVaTJ
dWyVRcAdX/NomHW6I3yqm7r2qq407xrZ09qNooh5FcpmClfFLLUK7CVpKT8UKZWdy9I2/NzGMp/3
Smu3oGXx0VaJ4wdlFnh1HsfCFZrErRvEKlu0haFuSmMgkzBEPHaNIcikh5tInlNbpx9wHN6GfUY6
N61ZudBB+aCxNIhvNxgmUvQYdINVD4Nrtk58lUbU+RKYtXUR2Q66GsKu4V5rRpb0YNGJueFUvXTb
3hl81FLDH+LusVClvq9Ng0VuKzWbBqqs51aA8UMZoTaZBcxAwh2iJPgGRztV44qsNL7Wkkm/KBSe
J3lWzFHJ0yfRFDbIPZHJveBBx9ymtMKLKqhqr4d5mCEL85uyld3EaqtyilCHmkkKN1GEXtOGTuk1
OAomUpHKrwt+EwVGaPoI5focthrcepkZ266jWfpXJ83oEle8uKdE01nNYwNPlS2HpWPn1USZXTxM
m8QJp0bXmUus0va7CouCegPWZu1mIW7CaafjHISjbSd92NTOtMqDyE81kecZPOrC1ShVDhMtG+bG
Ko4NjwUtc1lOu8G1dBp4RBuZnFV2MgmtujfvWoIsuO+4MlM3hpWkp0S3XM06wrorOxmGNLir21JL
6fYi7bPqKQoijIcvqjU6JiOXV6DK80fcy1iTCu6drOvCXOhEy6S74KIcZg2vdTCXlRCFG+M0vzeZ
QeZxT0jt1YBB4PalyTuASzqOnwUB7Ic6TdpyYidtaHpVqlFwE5WmzfLzpGdt5PddyvWVrTSBFdUG
OVKtV8NeOLWNKA5uGhAdO/RKp3BgwZFEyWmWioq7aQmbVzDpGmF7RgCnvtTtAzOz4GKTQEov4nUb
TNuUpXKiArAKpjQL5eA5AwWNmeHEqj0ZVUbqNqoP1a0ShpSTPBTOd6NumDB9M8d6JiyndhbUCMLg
IiNMMxp7WafKoT9XEKisokkRRkxOAtUM5ZRXKhPTPrVlf24qJQuP4j4VHuton84qUQrDA1jxZ6OQ
A/KhTCSRPvxnGjdpbBoKpjzLPsdScjknFdfpJIm0/WGoNSHT2MgxuozaSLHMZRGO9CyomiK7h82Y
XMThgJNpXQAHk1yn4TBxUDdwz4n7or2WTg9L2wBRqfwAofqiIpSmfhiQsPZZ1gCcgimwT7IhJsMq
TSCC5zvAgPRJL6NyjkxhnYeCJbaHk6QkvshF4A91kFDXaKuC38ZBG1seEWU8uLKIB+PSDFJrioog
pMAuZ8UE9dGQzyOB2nCScCtq3fVzLuKCZ7B8QlJ6XSuMwdWdML5W0AG8N1wBcoQXaMjEIFynsQzy
0Kctrhd2wfvcz3ipr2mdwZYUKpYAAZcEZisQEcq+DCjNoouyl2k3VS0dxCXSoX6wYkyXtAtk4DoI
Fu+0zjpGJsoeBDBfo1j6KSkT5TltMBFIlF/StgXLIg7j5l5Ru/1WVBE5b1gbBhMnoSZ2MyeAcWia
x900qxq0GLqCWHdKU/SAtAFPtLahHE+jnnWTBstYnFcdxu08Y6HCN8Jg/FNmluvFGcelmrFUReq2
6y3teGbZAjZRmwFjuQKlewk7GP9EHBNWtwQtWfnQQKXL51rxAN/GVZ0kH7CTcWveWXFbX+tOr43P
qO9uaWLY3SRvJfx0ng9D43ZY6mFmJmz98mvWW9BPwFch0cKiGbxFXVKYqijJk8HjSQOiU6RhIu6y
ioHIVzVYBSF8BzoV6yy6KZHVV5lLisgEuNuqq6+lERXKFWZddtMOug2QSd+UeK00QJg8eCNQIB1H
aztZZ/JTABfJXDiNEI7rRDSBddGH9rLNCLDRVXH/gejOVJchmLnxZV5kSXzvwG4xU5mJFiUPyy9Q
fmGXbmRFAl/kTsjryyDKw8bvK1a2YOD2ZFZgmFbPZGX/mKQJve1qZebnpdk3yefWlqE6l4Ehv/cD
X+sQUaaRD36AQyYC95GaFrbknw0zkFPZFmHpMgvUXF+10QeRa3XJZRJTn+IKh6D24JpSt4kw/1TF
RhNOUpyBmAxGQPjcynJUriQo5P4CbpMG2WjXGnsSUwNmtGuGZgKbTFteoqrGthfwVDew05LGBNO7
jL9WvOEPRg9m+sXAdYWetMp65UqEWDMXLYahOomiwbPa0A7nBcDSekbC7emQN42+7nqW3seNKl2H
qXNLdg09H1obwElMpIZZkSZ5fp3ZnXVlaNPKJ1GZyeYy7Nsi8hyqZPQAloh6MnkGagRUp2rcJFKt
cnnbOCXsAn15n4YlEn+hfCBO4w5ggfUfC00MDoOpoJpEzEjCCyMo2m9RaBqNlzJlJ3PBTXTXKSMY
ZlVdKjERQw2LVGAdk9suSQe6kHaRpm5ZNKZ9baHI6rwerBs1aaMCUGudTIRuNTAJukOpdII60lV+
k2Knmg1OCas/sbqQ+X3Qm8oLCmWXn1vao4c4qmCtwU7HP8Fal+o24xkCBYsLHk8dGdmt29VfsFO3
DnKTpGEfKc7K1m9pqK1rK0id5kMZKF7B5g4relIIAmiC49B3V4LoJL9iVRGRW9yZqT0PupzDe3Wd
EV4nlVG0vlQB6Aywxmp9naYB8F/xJJyqyEkiv+1Mc96XFsh9b9tMuFYQsesfVulL7OL22ch/dsAf
86KvRBjprT/+6yGX8O8/1zS/nvkRpvjPn67FY5Wr/Lv+7VOzVb5Oo1LbD22MDL/+wt06fLHxh51Q
yoFgyYeVqlN94MvDkZRfbS3WkQZogkEo3C34yojfCac8Xxn0OgDzH6pf4RS4khZSiqFpJIN7F0wL
fMRf4RQo5QX3EVtQkw9PrCMtL+EUwiDEBg4ANEGC3JXNcAo949AnC0GUHVwyqDey3hJOgZ7xW64R
lLLYEFOBiB6inNJ1McNrpyORKWwZOmCLoFMXoS6b7Fq3uLe9WDZFATurqIeZ0yoFdpIMu085j8ze
z3lWRJc6jr50RN2DadD7kcoSr9X1rGxDPxlC4SIzw36OUtvNefwNZlu4JKNi0hsK9AFILVzzqT07
Nb7APvQhk6Bv6xwld5oV0X2SiHPedm7GgtpLwSgKTWEskiBzWrdsykkljfBLX+joNggiYd9Gac9u
aeaoCDRcMBDXhiWS+zSQZvZgg306DSoetRPVoUCDs6Mi8am2pALbP2k/J5hHxFdJfi6iOO7PsVld
gyFz0db0Aw2t3g9Y9skc0ofaEsTNo+IRO0K6dlR/g11TeJWOJ5BT+C1aK/TKsBZ2jT/bXfepjgQF
6964MhrDN6SVuaFQIKlFgXynb5GrMmZNkBV9xgFxPGknX3FI7xOnvYljCLH0hniCti0PsrZWphWL
iZIwKdTRd4wkhQuuVXnewvguDovka09gB0pacW4OvPXLMipdmToPZYrwNM+SzM3AWXC7GJ9HGqy8
pql82Yo5iUjsUhkxF7bywVVmkk1wXILdafYXpMB3Aa6lN5AIDBwLn+dJjzzsJK3H+w7P+waB9Veb
T2bOfadWEgxxGkwSpmYy48swyi/hHPhSEb4OjRiGSwZ+z4K08SBENO0C44nyYZqa3bwIikVYgffW
BJVfVIN9LjMduSoovuvcqFxbtIlbG/KxjXjnN332Fyxp7WLesHPb0skUltedhUrtaidfaBobrjUE
t+BZ3NEwF24YoQ9BYRhenYKfaXYV9WLaKA/Wmx/R/K86xpWbh/pCA4Ja1VNaRmLWUWtwbbPMJ0Nm
zWXT33Ql/YyUXnAtHmINUQ1hqk8yjD6sDQ2/MOsZCm1jHtuawHZffehZ8GC25t1Q1iAiSBR+D8av
y4XofVQFt3UwnPdpYMxJZzxWpRH5plUks54GJuySPPXaWko/pGrmMNPywa4aLvKC3cRgGk9zh7Ze
UWfEk02q3dJqr2iCntJUXIjaSX2ocb+246ICs4tdQk4Hmpkc9so+LD0EAuBbKF5WZtFOe65veGX9
1RiR6YGoN27cS9uLavJd9vUAkab8Qz0Unq7Z+QAz4zK2dkGzfPB00nzE7ZCdGxasziAsWlelYpX2
eJjVjP1FW3oPbYe6eZMnwksrPIeEfOITx7mKGgO7tlWCeSsta9qW8Y0Ibd82kg8ybRZhBGu7jRhy
2ziZCMlvcZiVUzvVatYWLfHLquvdMrMfWlQ2nlmZ3wNsfTVJ+gj6fV62xHRFqKkbGHhlKeOTihn3
pJSfZKvxBPP6vu81mglbfsl765IaeU8bFxwlZV0wq7PvSOwUDPxps4coUPmNtJmfY1qClLPCrWl5
bRudngxJPqPN8K0i+EvpcHLOzaxzC85uh7rJfEdHjm9Vtg2vSjKXR/1j0AdqbjJ9H2U69SCul55D
DK2H8HESg64lXwvbutcS7P4WdvspRK5aHyz62I+LIvMyYS6ausgnCSWrZui5n1H7Oo5x4zdBzs6T
JONeY1ipy8Ejd6XZEre12kejAUlGyiLnZtDSheioANe37HzHwJFPcPmhzWx10TtMTxDYnInIOsBJ
THVIel/QuPf7OCquJWvnvQy+yqzrfGlYcgJB8tCFUFXqFVX8aLOMuUUQDxOaBdPQIv25nVXlPC+s
aRJh4UfMTqeOM0gX9OEwy+Lya+VQcJqMWdgGM2g/Gd1FBnj1NBfc7VVrulxLPu2MLHdt2gd3doaL
KSvRHFzGq5iJcKpl7MxU2YR+C6cRXtD0/UVU109JacbTCCzNC1yQ2KPFUE+SLszOoywbPg6tBGza
3phSJ8xdIwNcQ/DMXKqbObgalQvX6QxeSsHaTflFwIdLQwwSfK2imgbJcAcmog/u/71jMPtqUCU4
HPUQuXXT3xZ19JDhoYcNEaXTglTCrSOjgiitfrRL2bgSboOYdY4GgxWF2nPw0LkojW61wLdZMJh+
kotmVhTDJdHBVZASPymH26ZSyYTEpenjoLXBaa8WnMaPTia/pSroYA3xwLXhLMRPDXqRE6efBHbY
eOFQpq5ptp9QnSzzxLhNK3GfhEburcvUJ3GFbLeyilU6sO+hNK2pJpbyK2HBkAJnfpuaXwoIkbhN
LRYBr/MpNBxq/LasAi8PksvMkeZ53MXhpzJKfdEGX2ww0l0MogsRmO+V1F8oMVwa6UXRwFK2tHwM
KOYTcP4TcNnTT3XuCDcXonGxYdwNZmH6RiquUUEDN8+Ty7QCS8SCPZUaDSgwhFado85ZHVw5QS9n
pugv0iDjfpkYbkyzz7KvFl2GM9fuIeBVQWwCAL0oFbqkqXwyCud72xm1a7f5HAKK54GKV47RTFWd
65mCYIUq4Ns2Nz6ZsQmRzEsZR+DpsnmhkiWv42/g4XhFY5huXLF5LYL1qnFCT9nVxaDaaQqhEldI
OP6JC3XZDbCeRYCrKcbWipg5cTFl9yIO4WFQ4I1EV6JKkWuZeehBHF7MwHL7ChbYXHT5tARLxyXa
vhhoLr26EDd26bgBbz8jAoMXXQ6Rs/gyae1oRqR+tEL+OWRB5hWyXJhM3q6NGERgw+NZOKMRkn7v
kEWXiI9V20ZuoUzhGUV5Wwh+1eOA+8QuP9RG1bospsgbLDmr827wGxxPbNRKOHgrHFdJGU5FAKKT
DQSURdXfy6aEV3OyZhKB3ek6qZgYGVlbD9Wckeii7ePvEaJiGrbOTY/iWT7MFE987MyqPvNRd+UY
yUOUNolrWBA2Nh06i+OmcHsGhgwZvhGnndpt+M2xxZWF6wpMDjMCsMplnuN1LKMFr7swm+oSxOch
7DuIbGnnEyqY29k5OIHVxDknYXqO83Te6MQPHFLcZXYle8/MhN1OhEWR8Tlq8tz0OgzHOhdJB69M
XAHubDPN08bo7+CY7mtmUmH4VpCHbjiwVkDALLnIWzgS6xKIK5oGuJg8rN0qN6YGiws/S4x2Kqzc
t2RS+0GT/xU4aJhkTlPC6VuIICwQwxFJdt9aNsSriPUdDg0/W4JRV4LhZQRCT6E/0Dxi1rLIuttO
QNAzYkXiRUJLOAYFCUkSq3Rp2yDX6PMOtpMe7EITNjYFWxrgt8YObPOa927Io6uyQpabFpbfabZo
tLjhNbtCcE7oZipeIt77iltXaOjBusmLb7C39C4YEV6SOR+VENaFrs3VAPHV2RCbtts3zrnV1Lel
PURg5MEZBrgSLtg1rW8H2VPVynNiR4ZHzXyYlsq+sko4ZEga8P9Y41GZt+egd694S2asp7DZUaXO
6wYkOsbwg7SKvMRKlatQA+bNYLtDEUMcB6xdjpKvSSk8K7pJigQ0QO9CGGVOK0Vc7jQLQ2WlmxX6
RtL4CdzhxA1R77W9WOShuaC8n6ZZs7Dwja0lHIOUflUZ4UVj5p8hcD3Xkfiimf5Y8Lxy48GcQPig
s9l9FyoP7N5FX+KvokDnXBmgGWU4H3o2zOM6/QoMfoyEYfsMbMFJpAtxCVrhqyXz5rMcmtDNy/iy
g9Carxo4DujlcN02PfZKG/0FQY1lFyd3bZstk8KpvEZpWAn8S0pzCCJEnyWcXj2fmP3dbv//oEMP
R4O/+gDsOPSv7/fe49YD7U+3HqqEKAGPDlx0BEnp/8femTXXbStb+BcxRYIgCTweDnvWbEuWX1iS
LQEcQYIESfDX30U7Tpyck1OVh/tw66aSSiVRbVnDRqN7rW81N0f0t7Ge/EIB0IAIwPMxIzCuv4/1
eGimC4Kd4wkyEUCKDXr8QUlEWCzBwG9gGodNGeExIj/0iz+INCBDfv3vnykJKAF/HuujzSXGtmwc
Uvy1oRo/j/W8iVbeTsF0U08F/KxE98o91YtHT+0K+y8pw+ajLQWJo8W5sBZ2bBmgHZnLMJUtrjNv
LD8sYjxXbHmY3OVic6+MO4mKAKkLmmWxwgoaH+fGXkcNDlgRxn6dq7hnw023LKewM2GyNP2xWOs5
boYBV5PgcR7xZa99/91n6HbmoW9jt6hsAl2MZLpy+nhldGfKkiW0hkXGB/lsQ1x7Q01txkfbpK7u
PtDQmJgahySADhK/W93EzmNMBUYA3eZPNffSkYQ2QbeQBsX8GhoUg7xvUjy89kuPZjGZwuJTCNk5
BiyBuYtBgy6iGObKp1BQzFndmuSzv5NMY2AdmgMJpyCdFDsMC2YxSycMVNPyalUOBWC5cRWqTwDg
pHB5kTS02lfVcmRwzXfeMmugEw6uHdF9FS4N0sVrP3UqKGNfTn6am/EtzMl6PVT2pUCnczZBAXc3
IE0sRYirk3n3ZIh0SuENJsWmIqth4ft5rs5e0E/PjE/ajw1YnR08alzUUZHRPFK72vouOtcFPpCU
Lmr9qmKD2+zKumxJK2AdO6Ywj+a1Y5MR7+YYnaXMnAL+pXWLPGvdAaXKVfWe8Xl8IJhxHud1kqly
oflXQ+1e2bCJdutcVc9KT+RURFH4aUJTcD9or7+VISmOzNPLpee5j6G9Vido8tpsN3t5yee22yyp
5WL0WpN4bdz8dWGFw6ChOv2xJe5dpbiXSTl3H12LH/w+B4jz2Sm5eKesNlnDCWyV0aKnZwylkwD1
KTsTT+umHWiYPQO5Gu2Kn/qcQZy64A54hi/HE6c311q28yHPx2UXuRPaXF/xXRTIKaZLd01HMu76
xgW2oMes9/gZXqaIq7pAL+OvmwHO23SllQedixVp1Fh3p4wvu4wUD5Hfwm4uwupKgZc8V0ZMjxyO
6DHE40FjCdNg77B2TQZHvy8kdw4wzNKF2eI7WfD/vZhvKzD/WzH/Vw2t+evLn+v495f9VMfp9swB
hhrJqB+hxP9Ux6HYIlPm+8T1PYIP/S7Pcqxywoo+FHqot9uHfq/jSI764CNDhEwp3np/p47DjPn3
Oo4rAfdLBEMYT4T8Ux1ni+i5YdLclMXYnVjN6ZVulzNr6z4JjH4MUYz6cqwOrYrq9U2qoXfujLVw
4CFLwvyt77js2nis7N0o6EkNDQaJGhIkujlQW5Xn7It6olAk5U5UkzwCDXAT0eU0hnkj0L9Nfbtr
oq6GUiK6Z0gXmJFDNKMR/Nky6QiEkmlx1lOAZhQ3jd3ewKauUkwQzmHEe1twvMmL7e1uPYU3vlfx
Y70dhm47FmQ7IOz7UXnovp0dth2jbjtQk3bcNNoOGbp+P4WoRWIScpg5OIvVt0MpvCTYjmmA88q2
gzttR3iqMUg727EetgOu5+Ha2478iLOvUQMgwGWbkE1QG1wqzvNWLMatbBQwquISlWQ2g8narbiI
3Bkz/GHiPZ9V+Nmu5ZTv+k0CA7ECmEAO6Pm0uZeV/8BKtzXHDu3teFd4bX8I+i5pexke+sAO7UM4
ulxDIMijKfajnO59b54wNebBe5Wb+bjFrvamrap0bdpbWw7XIe1ObS2ve5ec2ejs1DCfnCZM1Qoj
aLtAyzUJiu7r3JL7YuTP/ysG0P/BThCQ2193gv+qu6J9+3PtgCGEV/2oHdgVgB1BPjaEbKu1USN+
qh14HFwEfDYIvvOwf+gBOcgDbOL2YQoBY0Xn9qN2wCoieKor1ov5HCsn0LT9jR4Qobk/1w6GNhNY
IiArfJ3etpz/5x5Q6GguS5/VN47XP4tihOFt6lfPBsfaa9q4DHH1aJNFQRO7E65wX1y47a9n1gAS
mNG7NUXfxEY4iY4M2YnA3UGyeJiLiWQsUiaZhL24Y56GjsJ87Y2PBSNdUnv1RQZ9DflRH+pqeGnC
RcTGo19zUgxJ5zQiEcFyXtj0tTJenzDYDCmqcBbaKYg9266Zaxwo102wQBIwYxIZbhJq3TAZVWt3
rbK3xAZBSkR9NkvgQ80eP/kg5VKY3l+VG57QGndpv7SQ8qahihvhQ3UCWNhG/Hbl3tOUrwKnHKqT
lM4c1xH8kDIsi2QVHYmhaORxlB99Me5spPK4h+0ck3l5XKW4GqP2DKviLPE9xcoWOm4IuZ+LKp2E
aLKqJVe5Rz7kth5RhwxsIu4Dkx0mkHiVw2IK9bXxbZHkrHtigXaS0LXCiCSY+kI8jKTsPoP1eLQr
nc/j1lD7ULtrbwbQ1evPi4Ch31b7poP0R02gYoiXaOv8nMQyZ1dSkEe/x8BrivnGwWMbsqoya0qC
VWQrB0shNHf2jjL3viO/Buja9+BKYAZU1VmFL+PyAqRmR7vwZbC+2hvt7msziEx3c6MeuSfbh9qt
u+qtEOvXeZH3q++iPEKMjuJKS8ZetFde53h/H92xdQ/LSNQN0Tm/oU0OaZnnCeWorHMUHkZty9iV
0J0k5fbaL1fY2IVq5j2IvKe5ndOoaOSVv6g3uPTkAF2MQ3oPmVz/mXi/m9EbDP3XdQ7Pyvhta97v
tvf2mt+qHFaKI9SFYkbw5B7sv/q9ym3LUgIvwMTioQh6AVLXPzokhnEWJXF7RDkA6W+2948qh6U7
6JgAoCPi6+Fl4d+pcj7fqNif2WQY5YiigOimeEYJKvGfqNlhheZrAhNeC79dMWSELhAjxWRPUwdH
BVDqmhtogg4JoUkzWN0K00+Du90UpY3lGLj1FTOF28BJFPgzoN661qFZ7hha8gzcBuRjf52DesGY
URqQtaZxunR1BYUUXkUO744D1V4X8ykIlztTRpirpaMEJgmcbrO0T8Q1RQKI8TC2ESTTrRb0EzRC
XehvJXbY5cb9UKJ06DasM9WUKViU+3arLkBUUWdQcDrVnNs+v3goRHboinjZalPXQZbtjvVWs9Ch
kbjY6li1VbR6iea42KocLEYRT8v61KAAQrM3cY2S6BjUxm6rku5WL2GEnMDbfSVbJS3M9GncaquH
ItsUbpA2KLvDVn/ncAqTcKvJ+dSPiR+tmCXHsE7drXbbQAcxc0nmBsam5VbhZ5R6hy7n2ilEYsDi
QoX3vi5LpxITDLvS7Q/FdmM0uDrK7Q4ptH40gW2Ssp8vg6lw12y3zorrx6Hurt/uo7zKkwa4Zpzr
vDtSCbRtoeq6JOq+7+ckj7pzgStOLmUbg0CKvQhgFi5AChQyRgghHeENTmhUa0mdZOrEieYNqhwL
Yzgv0K/HpYx1raodsxG0W38Ev7Z6u6rW5cW1K0xe8WTatkwwoBZ73/pF6oTidong8lA+JjCiT5NB
c9e7+kkoi3diFZyt9R5GsWThUsNhXbxD1Zb3op0uRQBzJypgRgBAzHKwonFHnfygKwz97sJv3UBF
Gev9N1V7w8Hr1JAErboOvHbcSx9ErF99RDTzsSn7GCGZG8B2XRLxClmImpcJq8tdWTeP8MZSW2+9
q//sdkalEPf301w/LFVwbEVvYwguUB6A3CV2KCe80Yk8d50GqspX9yDn+amNNsWIjE9LDjOJDh/o
UDW4WGDkSX5TDkHilLjogvF1gQEByGEGzhtVuJK3UZnBefBH8wB7sIpV6ZlMWXEUAxWHfoTjEK7P
oKY/98FQJEuBG4KXRZ+VE/US6pqPUwGN2atokSJoc3IcdUI05KVdmY5d0ZOEKO+BB+Gu0PQDPI29
46vb2S2AahX+A0UoJmXSbWKY7bCX6VURdU7iV8VuKeqngkbtvvXsSyPWBWyygO6saexIxpPWqdrU
b2q1G8f2uWwhNtmhUDhlKztzpC9S7rl74a76gpkGPCDMipzUNMOjDWH8QvWvB3uDANabrjGnKN1f
d1H0UfW5POnGr+GpLG9Vwe9LiP1x6Hc5rEC428Nq3+cJhuQ01W2aC0JBX0Qs6QYY13U0qyTHcBbm
Fd46eDxIjJlO4Q1Q2KRHogexBXmoxPISyrHNxrBtsyXkV5tz7Tn0rUK8IFVLTWNdWbyhwN6vjvuu
Z3oGMnGwq3oGmkqyEPgvkBO4XYt3dnU/7djiTCkx4T1dCD2KEV3jWqKUeKS88qrmZFe5t2N5Rot6
V+r83NTlUY79Qy7793HhQ9rO+gL97CZ0ug8dk1DDLEYvF5LXmaMuojYqnNzaz9BrzvuyUk+tGm0S
zXCKYHNiZpp1BppxTIppfuTDaCCBQbuc2g6fvKjAJo0ABKNlVxnjxg3zVcKBue4qC9xmfpu3GAJQ
7iJr4fxLEADLhgJ4YALqDQ6ANQNQE7iAD26A0OBNbiCBrSJQGWAL3EF9Qdzk8wrmYNrggw4UQrfh
CDOE4zTYEAVvgxX6JrqdYIEKP4cfg6RSXINsCEA44FtNZyNv1g19CDYIQmw4xFpHF0SntoiMezQb
MmFythzpRlF0+ScZcZCQ4CuaeUCCY0MuvA2+GEBh+BuOEW5gBkJPEx/+6ZJ+Rfb+a5eEXIoZ/k1J
wjT4U58ERyDigeshlIg8FCSg3/sk7A2NsHqIRehVsJwGmtBvfRL/BX0wPgStPgDz8rMjwH7ZZjdI
UMBb/74jsM2Vf+yT8EAJD88nhyq1bSHfHuL18zS4QH8H853Tm2rtIntcQ9X4r5MEVnADnthvmisH
+ZUDy6M6cYx8sFTQuIL4kLYEp8fLwyJGvKvKDB9pOgRw+t0ZHj5bfJ2YSb14dsXlHhQvaz+ACfGR
/9NDeEZfApw7L2/LHhCtyMesawaKGxkgL7O4TwoeDikGwRxZlwoWhNPANtZjncpwPJu247i5i6fJ
C+8Kv92HdaMTtaTttO6LHjPt5DZuXJXqbhXzowoVWrEhiItaIaMwOiLhQIvjQq8vvNR3Ydi7B9OQ
EPYluSXuWF8Zuqod6P0WLEWtAPr0734uXkyJubNxomy0b/NCQOIFfTY5vkjrpr1CxXvqWtHFA5u7
Ax0Ql9L+3CVV58GiVxjyVgbczZuWs78WZUb0+mZYvjNqOnt83nsoSlh5uh/8IdPI95DSmxCRgYer
J/9t5EhzAWKMuRuT1b+0dgVxhdSPEaBRZDSCFCg+MIPboK67Q4Pg5aLKDzV3UtxMd512z9JBc9ag
29JBczfhV2oaiqDgUuh2Pzoe27GwO3lB89oOsk4Q97y4E78gAtLCeMnb8ISZQN95i9vln0td4wIY
fCXaO2cdbbdvvBbGsVu5n6CFcfA4U/WFBP5ukWAFCmK+wLfZRYQLdH74cGHmt556Q1LCtYibaTmM
Vl7TNmeZMy9214/yfXZCeKrMPocu/zCuy503eZ993Z3gET8XU8mTMBhwFQj6tSDLaXaF/VzLvoKv
3yGa57cJm/QUB2gly0DfgY8/RJo5FwTWPtgC3xYEzD4Wgt0AdIUyKtd3CgXByLGCbxNy3IzWPYB7
8UpFkfYYH6cRqH/TUZLWiJ5Ugvv7wCmQJIOf3XkB5IkJ3IGSXwSQnKQ2dt2xueyS0oo9cYbnYlYH
hWOTtAwoGIiyuIuGNRvFdkcCa19mmiewl25t7nzSowvPzPfQVJUfg1wKBHdIBPTRopVkUEEgpURV
lISjOsEOn2OJWJHpGZz/sHof5HjTNfRlGvJLWK9lXNnymhH33MFgikPFzy0yUDHx/Skp4R5pWci4
HKd53y/g20fpe6Ao8dyEij2vkcqaervexLNf+d3D6oRya4CQ/iPBx8iRDwtxMDDMn3pJi2Mn+XFd
+nMuWHfO1fApXPI9sOcHJwyP0mc3Dh/upBu+dXS9bhp9qBTem2sIQ6bzWgMYQdxPk9pXSF0IU+x1
KTnoLN7GOD3h52EajpKU5j5nk0Tqr941y3wORwBQ/wid6BECdHz/TQDYNtn+ui/839XO7aU/dIDt
wVNehOfHwY3YbpGfQXaY4SxEnBx3VURxQH+/3yBp4ovAVO56CBBj4P9d7YQOwCBKfvtkUD2DvyUD
fBvz/ygDbA8wDLEYDEnwEOb7H6838H7NsiBwdGOdKcQoTjB3yrhtWXkMjWxvCorouYzkdRjofb6G
wV1vKx6vwr33c3pfafOm3K6Pl0Uey2k6AzndTb65VIQkzrSe6taDT+6lK9nKL4Xz2/kXt8aQ5pvm
mlC2y0V0GST0eevchaX8GNn2KVjA9OX9G6MMlgWLEe85Vhi5pOMI0OMwzpl81BZJHOre2aq+NkBs
Ju5eLxEUAh4iscnWfaC9ZC7Ex6AvgCeyMqv1/Ar7/Srn1W7U/meQTPtpHE9tHgLZ4+eJ9te5lNdc
LTu+0kTI7toQNNiqv0Lc7CmiwUF63jWHUeRU6qaEYKccL5sMyLlhTRHof+bFcIutBFditgl87z2d
TebX4bUmHWJ774PmJGuQKgMgbBA5Yi9bLLUI6RNAraMz8HQKBjS4694pS5RRINSdfrADMkn5UtyI
AIxqNKdeGX4MYK+vdrjHgoTXlizXMEWvZd5fphD549WcGm0PyP3EkejeAVBh4IUSkHOos/Q+AvgU
M6c7QJRtMefOV5WJECa0/bnPqxdf0XveAWKGq7OFl2+MM14Ad6YrRFS9tskQOfclX5BszB9pYz+i
ymdhW3gxyO8sryC8yNztk6jprwpWb9BZv9zV1uSpKsIXOFN63/XLnnWBScTSPRHSyRiI/itw3M2m
0sLts8HyeUU4lOnyUPJWHkeldXlD13UBGEjD1t9PGpFR7gEfm5bhCArZ3Suk+mOHdfeVgvUHNm1K
hr6CcVd7/tUSrCB9gc5h+sQICqCPpLm/lvfYnriviDuAQxSHsvWGLRPIMnxLW951XRPUXCSJO4gh
I3NLTOUzPYDcwjaH0D4U1PYpYueAuJFK3SFy2iWQEuCvi+EjwyWVVaGxcVmTu4JZaGDl+4zbKuYO
+eCQ/ItiPmIN9GYlwY7q6rofqjmt5mlrKt6KlV6xcnxyZrzuSptxQgOIFGHfgc5AvBd4t7ojCgqF
GQGaTcCc8iAEdyhpBeqZvgpocbELhQqoYm/SgfLrQgOeipbyK3fMEiOT2CTTJPu0IuxNdPxza8nH
IAjf8PXD31NId1nr16nfWSQpG79LgxZEZ1flwKBBbnW1ToFd3iD6fmLN/EgX+24i91RydsIcDY3A
MRkyVI/FSjLwqv21zed+B/JeouI44ZWq8wdEY8AC8mrIyIZ3GIp0xQziYy5X/JR7YKeKKcQPgIVE
GyBSghTJnXpfbugIX6fndYNJalAlQPZfJSiTZcNN9AaeYCcH2DmgKJGsD2KDU0hPdqxDYLT3yT4H
vzJuIAvKVNIPwbEQBnlisC5W+PjkDv1SbBhMiJQ/QtyvjtHpsIEyS+6m2A3whAAJVA3MjSua/oRu
dM2G2dARwMYK8kbOPhCc0lqICPi9L3n+yd9AnbzLI7y//B3AW2B4fMYR3cAepXAs9cwGfHnIEbhk
2U8bCGQC8DMVNJnNZyqKNcTXNp06mB1Lg9Hfwqph4Ipm6V7LcUIk1j2NG3hUO5zHhQNNyIBKqqT7
MINSClr5AYlajP7gl1pdAuCnyAaEYJuQgfDi1lYftaQYCxqw/PU3M1vKqt3BF4bF7Si43VAyXahW
cMDpWOzAntK4dZmzdzef3LZQW9vNO18MOYHTucMQg/z15q9jB0qR/NOLfOtFttbgr82Iff3Wtv/e
hWwv+q0LwXZuPGrc+w5XfNsz9BOvwYFr4G8PXgVG8N+7EP4LZmv0yTxE2A4WBj70w43gWP5MAGrg
H95mYfw9XiPEZ/rjlE0DtBrhtoyYUbp9uj9M2YjcRmQxjN8Q3FrgT721A++2TU6+00qSBRKRzs98
G67Ay2HOaraRa8XsFZb8oltegdauXqtenSxY/YmMYmcpSk/c+fWyTZnrsV38PjMTv0NK7H0LhSaY
dECjk70TkUQMBaJC/d4V3Z61wLs75+AU9WugFz+JSnUR5XxXkaKMw1GniFsd4KocXKTNYl/PScEV
0val3WNB2DVBAKGAdYEETlDvjGsP1kMlah3vtWy8eOmn4KhZ9Kmj0XHV8xcQIFeYe+sgy/G9PXNd
pmMewmII1JuGPlphv0FcAuMDjKz6m9Vxdgt4Cawa8aD8qvNUIRU2jy4GGN/REAqi9ojFz/huwSSm
g4J9MUxXWLaD9SHlQCBZUg3Syo8lJfvSN2KnKx9WphZRVs7eC6v0uYIslvY0go+izHOz5J+BFyJ0
o24QeUY/1eTBrhngObRue5xBryGXNUBRc5ogdWcKnbZhat99q+RwGxKsb7l0pb1rguo4iB7XCCm/
2mZiscuwTwbrOx5ZTb3YF/YFygmsBs97H4lz8iZznEd7KTX8mJwjFzFhhwNCjma+KFimgAoRjlvC
8bJW9VvjtPMn/D7PY/B5bZBqhnU+1fVt3ZcnN8wf5qEcEw0BZsByEt7Li0NaA4q8qISIEYZWEhr5
WPH+ekGvdawHBpMjmOS+YEwvMMR7fkUwzJ2iSk17AvT4iJ9L52bULbo9fGT+AIPF8KS23tLGvUIa
bwos3Xc6oHVam0XsPatkHUetJpeors0TUyE7OCtkgX/K4fdyiHHor8vhv5qXr0r/h3qIV/1WD7+B
JhR+KiWEwYf9SXXEblWCcQxS35/wNZizWN6Ikew7avzzsjb2C0G0GDtbf6WXo781lZE/L45CMfS4
iy1ZESo2xE98eT+LjqoLYHkh6Hbj1v6HSg0PZAjODR3uqqVDUzRReRIuegCPHtBTYE6oqnyXT+Gc
jIvJY7fHRBbZ2aQYqu5dNMyJ7BAomekYwhbx7kYXvSnl+FxtpGRWl5135EIToMr1g47aMl5bxXDy
lyund1XctBBowK86ibMEeRqNEYapCXKGHmdkZNrmAwzg4Cqa1vZSEjLGKgROKnLgD6SO9nRAT88m
NSehRI+36vaDbNHy1k4DC1UPx74LdjkbRTZUWBQS0eYN66QesYoHmj8JDsp3HnA+vDjvh6t127qx
BuIVaW94hDBLE63mrNXH0rt4wv86yRftJyMXB6VyZNomg9VaqynxE6nqtK0XBGbWocs6W77MKxCc
ZdRfzTifvBEOJ3fxDekpPw6a3dotrGjbzFkvZvROC2WfgzI8KrekMbeBm/IouGihbwtM0TGdGJbq
Ld5NFeoaOp/JPObiV+JHQzwKMRwjTV1oU809ETO94478gojM3dAy7NeofeiJnvR2pFckHqLJ2/kh
MKMuVyOy1rgS8mr2Yu2yCynk0ZqCxkh0pCVr75dqAA6yGi/rfWwEYwPm05BjVVOI/RyZ6MfpQYyu
n+Qekk2OKpEU6/YI96Ejiz5Qvr54jmj3ja3iEUgKejmOrKbE/YMVPTBTuwNiOQQaWn/yPXwvq+73
3G9g4OZe6952dGwfMK3jD9YDZgJ1s1L9pVDIhpHJucUb/IUrDFu6FO1JVt4nuGBXGiuGUodR7Myb
/bdlNm9TZO1uGBE56geWH6IleG1wRBFfI8itbM5gMZuHgIjh3DD3NJXlc7fy89pjQguU3CukxXtr
oS27zEXuEqaRqnLcI8NwPZYrjs/0QYr8tZcRO7Q+9iyVTvMAxxrtODFPvR8dqx7DHwvUCTRhDUQp
bHZsaI+hCNAGu/I0jW0IzXx9wOecL7jFp2ThSkGbDDWipVixg3kUmVO+/fIWH5moMA9TL6dPgyoR
QFmB3w9D254GYpZkcXBpSltgZhnqMVmXQX0Sbi4OrZT6tsT6gXj2+3RprbdjpnlEyLGMxSix1aRE
AJ4gmY11JG2W16XBhpUKvq4dyRHWqoQ7HMpUE3N0V3hhPZPHyMvrfYivJe5DH+rodkoZNnPgPlwR
o2kPdIQEjKhNqdYRiaERjGrteDhpdEywgWeJLZVRysWQjtRDD49/cWhwW2IqUcP00VvKc6ANUpP2
mlP9MEWAJdah2Usnr+K2gSzfVt71tJiPhQpaSDrytqHmroL9wKrlamjWT0MOkbWaRhQcVT6GoOLp
4h7sMHwYWejGvWnd2FWI//EaQ8zQZ5Gr1a6xbIiJXq5y7d9Vra2zZfayiHQnYkyLDKyBZJ1/LoR3
g1V019icd4soA/i5aXjN8wDwerV+qiXILziJGPnL5vPQAEVB0hizL+k+KEnPi4PQ8FTjXYNVibZ6
9E0ZHCCOQYOAa0QyqbDkKyhU+s8V/u0K327cv77CLy/D8PYfRprtVT+ucFBUHFRSiN1/5NddH7+N
NB52LeN/M8SI/O+s6K+AFfV+gZnnY7MINq5C4/1ZWOW43sGfQwXFB/FYG/Z37vBvFNcfRxp0CXC3
oaq51N28wz/e4dAEt/dMON/Y2R+iTE55iek7QihQ2AJ3LsnP41oJP7PQTStEiz306njeTjEeu7Vw
42UK1+ryXQMrFzKuWTV3repjLHIKgy9LOEcNwofwVVB/dAFjadGHJfQEf+du440QDYdB78Yiojmg
qHXlad2pGXYRTqSzZn0oyNphFpgRs12Vh7ByZMTiZQ0BkJLRyMOosuU709FU3t64iInsIRvR4GPt
OTLcRb4+FsQDOdVii8ShcyZ7QNEz0LZ8tuxEyRD1E6JsxgzcLgAYZMexpYjVrwWmHFSS2XNi29kp
c2odxvDmMEPIChsmGgdNPnCoV2ihMl7Xxt+PYMtkHPQIGQVWvoezQ9GVsPeyBYIBhqLJog4f6xys
aERYHwHDSM1nKRAfZh4cEFE0BNoQ5o5aO+0req8qJmj0scmDIC6rXQAQJvCwJc8W7oFpCtMEIZsX
j9WQYFclTh3W3d3SjQBCHoxDumzfqmgN9n7tiwxzDt0Paiwyd9juCIEGiQamvq1cAw0Hq8SabgIg
C8IqYw72xQrmv0nkHQ+BrvC2AK6B2YJiP4sSUeyGziu0NXEI19okHoeMLLV+j+Y8R14THlTUlNOQ
zlpAnR1JtFeqGVB+3DIl2Pt3ha8ZVBFM3dOmIRamROAd3WscRLO94zwP9jNX2MplZBCruUEmXkNo
n02OKOmKLhDIx6e6BQAl+nITY9G1QKVG2jKqbTx2CNwa7A7eY0VNfydsj4lWzONdBFExXq3XQ3q0
FlOeIvVuxULDbEDrFyNC22WLF+EKbFC686WtDl6NTCpM7ubwT9n8VjY3WP6vyyb2VL9Mb/pl+A/D
D174o3LCkoLpg+KJpRnwpSjmot8qJ9wqjpr1HTH9psP8jqYGLl6EJUrYJ/dHAP876orph2FT7Jbs
+TuVE0uu/ywGMbAbW2lHWohwHuHr+3n6aQUDsTUxdeO6tTiAfdhLATQApMDZRBNyx4YMFwiKau+7
K+7fxdy2JcUmX+xx0JQgDOwMB/QXQcaRqk/EHPqwC2SfGImVNKUzk1SOzIkjBK1TOOnNbY/IvwxW
tGgIWSaLu56xkPCCif3AFMceOkfue9s95Vh0kaw9u1q1BbqtqumAbUknsZGDFQ1O67bcSNDoCnra
RxEgFTMW7I7PUfU/7J3ZcuTWlUV/pX8ACszDK4AcyUySybH4giiySEwX84yv73UpyyrJsjv03A6H
w3JUUSQzkcA9Z++9NtvVlKmr/a5bJpK7FT+NhVX7E3xgiJikt/NxPdmlgzEQcKJmGC+eqCAhjVde
rl1PjnhQrOLU45pgeZE8li2IG0WDdRpNV85qXrBTbrVY+aanc8ByZcuA55BSqK9rp3rRXftsJBjh
Eos18szhi4viey84NpUz9zMFaAmWz8RnLcuOv52JokfNsnHdctiM47iAuy1uWuwcsFeNfQWHxOfE
fp4ER7x4nbQdCc5tZjcMIiOckFwrA0Vfb43Iftf7+iEf8L5iXmS3U97Opr1dkoInB8bhyOlu7cF5
TJqIe6i5vNiS8pROVh0yGeeBKFMS4emCL427XN8CDZlLZ6sl4jhr4iNZC7h7vf5oJ60GJ1CPAkT7
m2x09LOInP3sxvfN2UyQMpmPJvfKXsjwUnm2TZ0R/38DE69fs01v9COMPPclsYkpDk3Jo6JKd6Q9
Sj8vqvfcsasw69me6422FS7EOzXeLP2yTxd8qkWRvbWt8eFY+sdUqfE+bsyzpAVCmYohPI/FJluE
+WRYOWDUxWXCjVIy1c2xsOyDsDQQnMm2dWNGB+ism2WecWPG9rJzv9IBpTX0m2lU7tJ6+uGt+dSC
ACBDhp1wtzYmCh+Tmalg4WyY1Txbnv91kBolbscQo/lel+Nd1c7f4YY+kEoNyZluVJlX49LlOvKe
K2M0gkQOihhOmk3q4bTNHSQrzsBOoMnREpsNSqglLh6gGBvslg/d+lB69nU0dppfyBFVxBmfC4d0
qctKYWvIUZaYtbpV5HirAiC8Wph4IyZfQ47APbMwz1oOO9BggYPwuyQ9nlcF0kxnMoPhCr2pKj4p
mRywCYgC47Cuk0JVwVQwhNtM46K0X3um8666S02TEw2Du+sW0QFkxXmOyFGPDPeeXv0wO8F0ydhf
mEW9cVhx4nVX8hCwDVsVS+5EGisOk1XZMbxlK0wx1gntdZbxMINtUTV4QyMug7GIvnOigrayNKdI
biZKVhRzbe5LLeFQw/JCifOPfOAjo5cV1zYLjs4jGiQ3HqyxSfQK8YBy9OnJtUg8c90ZclNSlfHG
BKbtKzVj2Bg3JRvK2Tpp7FiUFCDJPEJpdeUCBjtjFM5yKTNEURXELYuaZBpPY5tjlZdLHOGl90nL
1WyZsXZoRZYQb+Ydh90KAX1Z73DHs+5csbF0xbgGNdsig4xxqPKd/GRtIs5SLJWI1UXbEVNqWDW9
uScRPcsVVA7qmPxMc1eYxpVgS6VG6kMkhyBNH4+RHIuML622+9JtccC2L7mHC2djc0jKgm7IrgaM
3oCwRqPQme+jklRm2hHMxmF8/d8zwa9nAsSSf38m8GWj3l+cB/iif54H2Hgy+FBWgOVE1+2fl6E6
fyRVI/6DqZKZ6DcLpmx9R8tgbf87r+F3cUi2JFBoARgR64v3t1iLXzPZHycpFqEcOFxpiDFNzCp/
PA+M9dyBn06Mm242VfYk42FazAYPhGGQaWog2+hwYvrl2cH1F3ax+d4a7nXPmB5akjCbzeRF+xbw
Indn1MkSy6ba+u5aD+Hcjee5xUlpem2F7Dq8LV75LUm5vRfikpvZrlz6I7Pmpam5/2XNAl2h1jvk
Cf0a9iInecV57HKvCoRX9LBfo0dIEc8WZCtWV+sc2HNxY8XGjTbZGw99yhHNIbdW47CC6wsGFPdg
TOYdJRgb3a0/CRRfhim2jiXnHlArby6jndetTzMyqp/rfHININIA0Qpc9XUUqDORQlB8T5M2vOZ8
MANmqL0+YAKvgR/4MNFav2d1FaS1cc6L5ihyE6oZA0UzJpzdlYrlk3Bv0qJlyRs3N8D96uNcAAaE
zBSTzq9ymLQtnlA1js6dXakh27vVBpq3frqMT+fRdN7XlBe3jorkTieC4ydd+5EQ2j1loIIsjA5+
pNfLLik796ZLZ+Y1Z+Jd40jmt3EfBzn+NBDRZYIYrdk7IBE4fVpouubsxHdqbGg7aDCx38SpYPIz
uF9OEx7JgulLXUS2N4xZQGBIUbQSWeuwUlJgzxze2BjtiyjSQm1eyOSZXbo18WdukboFPMxe3/WV
UWxKI7smeHy19tlNXmqHfonXMC3cz2jNbD9zCnOjdKkRLsOSbbTIWXaQCcRGzRKXF0JbNvCEvV2f
cSfP5nbYeToo3yJu6WkAgn0ht+eSN7KSDeyvbK+qURRyzDX8zjCUO2iizLMrv2kzQ7tLORxv3Vjp
cUVOrr9Ucb1RQGvDys3TI1ifaRfrycOid7dY9MtNoriLj93lrRIgQ9LExm/P0HmsPbZaoHpSnAHy
JQJG9jp1VvZYwhH3u8Qr98tA94o+g6FCV9VuMFYhzdUr3l9ed6RNZdi7E4JfMuFkCp0h/ZHLQV3N
APKMcaHs1T7bDpaQ0iULS4jCfuGVrY/Vu8BOkAGsyCY3bOtCBDY+g7tVm++yebjYcvDscPBCNtTF
mSaCfg+s+rMv17eekX3b1xpxK0+0pxTwcGBAYBJtYx/sZcKuqTjjzo1K86IrwxPqa6+Eaj/goUz0
WdPwztbvRM82zqqgGiaZwHKcNDslXR40ZdKw3MZ2oI7escTVvJmmRSOFNpCv73DJ0F2BqxhjTVkq
Ryxm+9QwHkepHGJ7eCiQEp2svJ2cLlAU59RZrxGC41DZ4wsKw8eEFDlLTbKU6qQrdcrhS7GU2mUq
Vcw4V691vlsCDHYcAVUBaeeQJU7QLjV/9JynVWqiaba65F+LH51D8QZc/kOFgEqX0TV2cUohpLZa
SpU1TzWwWWMCIWWpsPNINbblr5dSn3U6w9ouUrPVmgIjV3wvEHNVRF3kZ+6Caj2GDoJvivA757aN
BoMWPHbE8NhJAeIwKCZBLx6lcuxIDVkgJmPgfh5wFYaOYt56M+G8SqrOoHr4m1KJHqQmXSNOs33Y
w3Mucf9FRNbQr1OpZGdS01ZmL+zn9qOTarc1piGVCvY39NPC2lSI4qXev1eI5OVgvaDY48thJ5W1
69ss9XSgant+abFNpNZeaGsobOecIMInUo3XkeVzj0zPWGl7pbH3y9TgE0bBV9LpjjKla6F3iCKI
/L3r7R1Efw3xXzEbUIoJ6Fo9mIXG/7e+J26aBl06fHapg5Q89ZuxWg699IYP0vdv5nfg8BWeBUB3
jeUq6cVdga1cS5MHgc08sUtge/jOBwzoIu0DWOT4AaLOgUi17gGZXafALFUE9A4TOwnRj2jAr8Vz
TFl2nat3LhJTLoLYLi8qKb//mnh/zaeYHFj+/dno97bMfz0gya/85wFJxe0C0Mi0CN9+QaZ+X5ho
2HFt8rouYIIvH8xvBySqWtkiWiwwiPPq9tcu5bcDkkNXGLlbz/y1y5UTzd8gFgDP+peFCZIWPwJx
GJMqMUnf/nlhoriKkbezqG6GhaaSU6bXVnZmT5Ppm74vxK2TNiOpDGGdLTCFQ+LCOITp3OrFw6gJ
1BatuG709ptYqqPoyktapGGv6JVvZNGJj/QJRmIelA5PHYPhD9bRdaJOz8TWPr5MH9Wow3PM7Qpe
8LrVCpNVwyoIzyZIrebAZNNnp36QLg3XDFtjLLU3XWEOoTlGbKd4dDWQrlA+j3pu9/GOJB6LGu7O
ZGcK0KM2GFrVqMlL1AcndYpd43hHW7ir+WBEPXe2qJiyIfS+poZWDhCZHCWGr6lCRkm5nTNrOF9T
h/iaQOjdUkLvy1qal+jWm+bLcspAjlQtMKIONp0ukyifHelR7ZNp5365VrGvIsmigUtHaya9rcZQ
nVLpdtW73kRBTzfNynomwRJbReOjjkVWaddDj2V2dIqgHKeDCa1xxFI7T9aNN9qL72K2ZX9xIRj5
vVaqKzy3Cg/04TRIf66DUdeVjt3W0y7joBwobdqUUXOGjPWpc7wrlGmvpf2R4oV9jAUYdMy5wBIM
2upNxSLs4XrUsQzn3gix2dlHWnxjJ2PnN6K+F5iMnTJFHVB3E+bjtndDY57gMJvEnm0iCwi4bncU
0rWMu1DfZN5nqVUbE1uzgb15kjZnwF9a1Z0i7M8ePC/4ghwW3LDGHl1iH1+r4obiKt+zVsq+THBg
+vM6VSeYmD4n2TPvZVBn05ZGt3MWVecOOzZpwS3TzTGzwBTa6qtuUR6AfRuuw1tc4eeWb33seA+E
yAOeDDsX47cm/a8DVvABMO/SZOfW1vGsI8OvyqOFdVxAwMLTXIV1Xhw6zOUubAcPs7lnYhUqxbOD
Cb1Sk0uPKT2qrWsDkzog77OajcK3F9Zx2NhHfgh4oFrIUZEFyHp0HTZQCS5pDPBKOl9BeDhADWI/
tbQfraNfRm++tNI7H8Wjdedgp4eXia8+Mk8LyLKbVqjZgXs89vtUrwy8+HB4fWtublTbup40LqkB
HUGMnQLfcKrDuvN+LPF8Vmdo1IVxDcr3bm56O5xr7NBCOKHRNK99tnD5GTZ9T9EO59myVYyI8KU4
Td6cUMYwPJCZ2hiKTMCaPebbCh1by0nbGIXpBErSzhLVCto80U6RaV5MQqY88ljfZTPvOBmj26xW
dh1Q7BoK475OcnwinZNtm1k7kfzfIWXImjJWcOADuDp4t6T87A3dLSHeJSjN7ko3WL8mS0fwLb0x
o/zaaJSdZkybwibvq7NynJrivTYL3oxVCXUynGEWkQ5Ke/vOEu6hotYibKvMQGdGcY5WMgRKNgSV
qnuBnkCNy9L6ukhhiOW9EhR69dI7DEKLXoyBUqznQfrD8/SHbTQcEVx9H9WlRfiZhG2ZjRe4yU+9
Zx8VC4+AMgggcWXNTms6WZ624KHmDlAoog48yvNCvYmw/6V1s82G5bpqtIlkcnpD+8/jaMP4S5L5
IbYtrnf6uUoO+qOb30QUPLGFK7B1t9mjNxZl4KWJRyBcma4J8YurxLLz/5pm//Hs/497EQI8tHwG
7bD+xbP/j8sRy9U0iwMANlhZw/n7s1//Bb8L5Z2/I4l+E0ucX1iquzDTnK8uUClx/Pbst3Hiqhba
tAZ0Hu/s33r2s1H512c/Grdl24Ylu0IN+ec/lSl6kVLZsevWNyWBhq222EATdUH4DnpGyvmRRoJW
ukVatum5I/Bz9IfG0j7Hiix/VRTTcaI1jS0BmdReHfYx20qL1wMdAKNFVQ5Md4y5mZO9TREOSA3Y
DlFxbmw06ZQbp7BcdpWLd8t1+2i1wASaCX+Jla/XCz01ZA+gZKfPUWY8FEVa3uBDUQii8nkYUofR
fdbSYyGS58iMcwIy3p1LtN5H3fnQlHbYxroyPZSNt4cZepXVpB7VGT9WN1/4SN3MVS0OQmnOIxMn
8unOUrssGK35unDa+wTkrd8uFRMa9QxxbxCW85Igirv3hVwHlQXxyIC4tBRvRbs4be6B6WyTGcM7
DhYYiG16GIXzqmnswKd5OrOOJVK4xjTOkDkf5mKfVKkWzvlA9VybhzzcLhHj9t5SNF6aIR2vRAqr
obDis1enR8/NmUCE2Ky98iPLBJb8pnFQatPdtE4pu2UGMmXMTZ8tMsjzlW4t4d4imxCX4tYgiPH4
fW9cyKFcqu6H7lafOEg3w8JLljYSZax135OBHrcu4tloOj12HgDSRo1jyLB1vxIj/XXCTAN76aS4
dUHAqG6bQjs1czZTianVm9SqulDnGt6tuv5grl/ylBe6ivVYl4t3bMaMEBJZE7uJzmpXj2S1cjrD
xBUK+C0tdGEvWLRM5baacXkBrH7m2Wruypk7cdQVSeiJZrumzmlplhe9KrZmOb5CY6oPhTFeeMCt
LKWnD74z7UuGwBrWaDclwWu/0ZbbbHYNP8qTkzco0fVotG+UQTh+z0aO3AZiQKIUzqZxBs/aLCVS
s7purRwQOgEHijJGxTnWcdVRjVRBCnVgYHm8QA18ddv9QVPedBzBtxDo3rY1kVsj2i6WMYVG1H7z
zImelAWzVF7zLTAnkMGBkgcBYrB4iV12dkqRrI9GXYEj1zl2GLVz7zb2Va8tHzJ4G2q5dREkVa9s
egLWgg5c+M7UR5ZkhDj1Eiz+ka21R9jJ+TE7cgfjrtBYgRIAy+zu+gYqR9Seohwgh9NO9bFy4MKk
nBcZ02mS5SBFpnTw2XbxFTM6VznFyzbTok9R0+rRLgPHBdpzx2SowNEQ1I1WcdXopbpZVbshTYoq
CiIaAslxyvQuBL3+LUMjQTbs++vEVNSTMbXWBzus/KFS0ZxQa1ElAPCzkfvv1v7Xrf1/NECFH+J/
znBn/2pz/5MHSjd+sciUqjaJji8S508PJ/MXHWQCc+ZvULzfBlNZOq2CfsfoRKWrqhu/xzqwR1F7
54AWkc8TBxPg3xlM//xoIqeKlcCDMgWB0zTVP+n4fTRknVhL/bZkUaPm6bUT54ExLpufZvbbX8Oq
f6A2uzyefxII+E10uHQ4r7Et0Cds/dkwQNNozt4yn26JrOWHnmI7c/OVgGSQRQqNweFPDtuYvrrx
luG6yetHR2/p4cNuGkz0dW7yVsuvxtaC3V95lO4uPTYiq5ZAv/Zl6gACFW6Cc0ou3JNO3Nd8w0Cv
xW2lpiSuGZ98t9Eb7pEj0S92xSxz3aummAMPqSEgT7jydCCDZpCeiuxxi3OsDweQerQnzWwczWfF
dU6eOXjA2I2XxBRVgFR/j1R4UQrCnYp17lPIV+okIyiud2i98TxFRQzIV3vkEw8zPx4hy8iM+jBS
3aOs28kcnj23/QDQ9RoXy7dWCuYkPQEgLOmtBV3Gdop0yxpjb3tRu+sSjglG2z5yptinrhkHIkmu
EHjeyinJt2Oh1qE9guAT1VyHyiC3xkiWW61fX7WCc/Rqks90oSMvgnKjmp4ZmpkGR3tsu/hUzcXg
V9pycZphB9J7j0auIE3QSjqZBqMcxcJBolv3ylIDtep5xjreq9ejVVOQMMhapm4wc58LInQhgPD+
ZTtU6k+XsRnTlHXC+WUdsKMjI8Kx0JzlrDOzciM0ieJo6TbXxC1NhNnWMKYd9JhTHEex32vmzht5
bZMJ95liW2NYN2QgER/QkC5VSRGJsXZPqY3VOKaVjoexuO+m4aBZhGRaQ30n0Ux2cVqeRJpadMau
N/qMD6xLMlhla/tDE/oPfRLwKSBXVcI7YMfSgFVMOySku4KKYfxq9rVjkK21Rfm+ZjW8Gkq5Crt6
ABNB50fj5PtpMHboJoHOQ4kNMf14XGL4l3ksbbQ5ab6XWRW329VVAP7AVCO8ozLSEMTT27jbm1NT
hqozbTV3kuvgdj4KYWGepR9BjVCITePHpHqH1CLEvWIYgNpTj0905cil9aSpq2+lkv7AoS3MM/1g
oHhr6D+9tEO4zXdgJxctVz5cj7epAWBA9lPKFCNQ9K7HLD2F1ZRrB0JCCC7TeO0CCgsVNAsrzdkQ
d2MqEbfTNztzus0c16c4VaOg4zmMwZy4UkeGCF5k3+2nqX+hb5klEoyuMVPp7axOuc1H1ijzW1ID
UNOUwwqkDBh4kmzWeUEJHBnvJvBF2cScOA/ahYbY3Vz1HzSvTcHMiqq06xf4SCQaDolJDKpX9ovt
0CSgvq7WkgdY4DpOUK/CvB+nDvlkONZ0WAh6trKyDfQt1oTEM3s2YMZmMsz9SLqz1RKkqrUed4aT
9VtVQ8CLR/O1JPDUz9UURkrbwqOsd4NW3izV9I1BFiFnMZ/ouXdP2BrN5kEyymPXbKM9BxdN/F+3
0T+GTuRdlMeFxBCwqgTIA0r/D5MEblHDjBZ7uSW57vjmLjrO99XpkPW+8r18Jr1+YFnuR1egOoYw
2xmH/3wblyru7ySCf3x7z+G5g5pqIR388du30WCNij2st6PDhu3gqSwI5lelKn49UdCy+NeQ/7/6
PjpYBQdjrm2qqkRH/zww9TyzUopBb7X0Opk7oFIfXnyAWvx/fJ8/Pv1+/X14PXkGMuQ5zGZ//D4N
Xhxr0BL11rauWhsYKe4M8/k/v2bmX71nP/8yf/omQ6KqnQ6m9JbunSdiEptxr/4A1EYO5cQaIfYv
7Yb14FbfP57dUPjn8ZRun7pNtLnLjpO/Z1i87kP+Ylht+e/m6T//fLp8Mf/8pkoAt2NYBqimL9bu
Ty+2oNwc5o2q3aKTn6M7daOetOf4SB84rpVw8Y/ftN0cnJvttLesoLiCAnSHgLidfPHfNcevaw55
Af97iWMj/iesWgJx/7rlkF/4m8KBmR72OkoFy0xp8/h5y4FlnrcQuDL9vBgxuMR+23J4v3CGNP8Z
D/55y+H+wv3EpJqDiBNuwr9nCSWX94friH2Jy7+HOxOUEj5L/Hv/9GGKo5mZeiQQZ1ZPk0zEjERj
FI6+dCx17a2yytwMD8sXy6xZzFqi8Vm4O0RcsGB0ylge1xjrRr5yj1YJ5OD9csIWcFJQa7q2XWUN
YiETPByK2qA3h2rTRN4IDICkT0bkh3JxujpmN4E35Dx6xIJ4qpRbm00qMLzqyA0h3reEiPp0fqZd
TPoY6vu2SohiKam319T4vSSCNBvqFVL+mQ0zyROZUlLbTGPEZOFbE2ESU7rDUr0GFeEmbIPfol4/
9jY+9oT4kzoimMQNxfDDRCIGf8ObTf/Hvpe5qZai9C3skg+7sj8c18tCFH54D8StvNl4KfWqPNYD
eo9BJEsfKYqTGS1+zHevLG5yliWuMcqNr11VTzM8pg23HsQYSMcWWGME221cIWxGWNxWq/iwhbaZ
JQK5EvXOBIrMOHqZ7DzeQ2Rw/WK0aCqf1jXMqPDZDMp848BBoFdQf0oBLo+SvGzqWoVDAbBDKbnM
GYBmgUBi2P0r1dx0ExvgAAf4BqukOrvqQkoYP8Ht3EGjr/sZo7vgkehdJ0r9uUpDe8RGY9NlA132
s9yBrGLeFSnG3CbNvEPdLMmdkeuPSLPkpxa4ZrpLxiDOjW+rSvdeAYVheBhsEZ+BgtXHVS1aipaV
fE8aezNl6kXDkMghw2UtjDOVSHb6JB2ruAwG1zcUXHJGTE9mbddzaFU9j0+luo2ziGq5Lt7ptvrg
KCQXp4zU4cBgJOyjOZS8xLS0RNn8XFvpD8coriMlIzil0Ys3tdQqOcrwneJVfImm8U3RxSvHa7Df
sbNbPLNCd8r2uorf1WF5Mw/rVtFpTGxWd7uUeThnDsnH/NqOnJM2sFtCi7kv1vJTFZULv8YFtGkt
CPZ5bPmjkr1rtvJiQSNZkvkikDWWUXnABv3a87hkSPD8ZlCumrk9q0b0OJfZ1TIVvFuR/hQXQMWS
NnqIZoeqW16hWo/NLXsQJELXO5e6+S1ypkdbZQUnYpERhONI7aTqG2SSy9Rm55iGQHrUyIw6482k
mRcgsaVfROld22kHeikCtNBjTFpzsKerWrHe4qV/kuNKXFqYkaybJF33BojgWiVel3fLizWQXsli
BfBwisLObQ7EeUNJnScdE9EMi2JM25e2K46GN55yQz8k6vpEnaLL6xEZcDimAxnuNOCCxeekiAtm
oLfaKHAOgLb1V9vdUdpnbJD33U3UVygpCeYzqqn3q4l8kdVFRl19HcwdeT4dt5O843KXQknLzfG2
GphAdGgaWxoQ72KVJKMGlU3lJeCedGcs9ikbvHfILlxbjv2o2+bJMJsM0gjmlXGhjLWSt7g2oWku
Vu91r6RHD/FCr7vC73CeeZol9gVGX030GLeLHhox19uwxveaar45BQaFWHdP1FmwDo2hDDC/XzSE
WVxXuUbRvPOmp06+0UoBpdauN4vBqq5IdVMi6LY5Bom2X6P7rFkzWMTaQ5mOpT/AIXyvE+Vs05i+
oYYB5nv6PCXjTesle/bHnytH4E2Plx3nkYoTrKlRiDpL8Xzm5uK5wGIXn1adtEtvj+iOmnVlue2D
JwN6rYzqrWv1imzl4SEfDUo71pcIuc13xu7N7pUmWIf21kzFOSEDaJAFnMkEajIcaJTtUcCkyWOT
NWpv3ZEFPA2eQr+RjBZmbA9dsoYqChpeNeKH1oQOh4/5wSCZiOp7FCQVMxlZzIF18dOsL55MMzbL
U2FNd/WU3XI98CKQeyzIP64W7tleethGtaTkFQf97PX3JalJze6OKilKU50fSx2dkHSlTcqy9qg/
dvmHWQYwHWEzlslQJuo40GoZ1CxV1DRZk4bgtC/JcrYy1OmQ7owp0+VOJBfyMvpJ/pMQaJ0dVhkL
VfLpUH4FRWVkFJ+jfsCdlLKdJVBKRyEbSRUmMz0bGuEy1gQygPp1GPn/3rHDgYUT1L8/lT20aZn2
y7+eyeSX/XYmA3+K2VXV2JwRg6Fr56flnvGLrXOk/nKccFb6x4FMru8om8IuS78GNhH3982eQVrS
AX77EzH1b1hOQKD++UAGvB4wDNop/8OPIoEuPx3slbKYbdodittSq03zRKAZFBShdLXg2bhMXL7z
PAL3ABr03ozF61qBNaaE9h40N4d8520Z2VnUA2cmbpINrSJ+71oC6pNzVnvY50i3RLDr2fSjCteC
FS/JVq9tenDqmG1YlEtgFf7IqLrplv6HYue1b3nTDxP7BGlcFvIeFjpqUa9mjgC+4WUnBfMLJnkr
rBJjhY9kwzJn9Y0E0MKW4iPcDu3bSE3kWuTLTtXdN2XWtsnUa6Cy4r3j9OdyzXme5AkU5Wb6NrnK
o+gXEWS5dm9Y/UuM5508sOKiXBv2TUyOnLuVhyHBytuNtsTfHWcFX2qNoJa89g636k1FiyPLAv2e
KVJW4KZ3s64eC9X6MPtiZ7TT985Mr9ASgJzSwT27+lXLHYOE175Q25fBSA/VPMBvyuOXqrNfPDrj
pyrkJP3eed57q3c37Zo+W9X8nptuEeqEpkIExVuFH9ZvrWlfULHoZ71S+isrve2Sp/c8285DrZxX
o4mCTOVGs+h4Va3GLcAsdHS2aRT/TKp5q1gT4kHHGo3jgUOSQbvKEjveZcpgb5tYnJJmoPGxmx/t
TmHwa1rfc/qjWxGcUb3ipl5ML1jyxj20dalDvpZGm6yiPXdICCQIlw1f0oaZCt7WHqN5Yw1AATTB
nzqLvm+Jj0eusxXpcGurA4VyJbOl4jW7lqDVDPwDt2V+0C2WwHM/xSxZVk7kaksUw2qDVleiHR+0
KJhAzKoO2CzeCkmEeMuU9gIx7HaK1UOcORi59WxnZtVjQQTCk3CXfLUfe6JfahE/oXx9UHijBPmK
b4peBUnG8vBXDOsLJc01D9b6CFv/WRmGDgz39Kh4QOL4UtRAFMyNMeb3i6IvGw4FPPm16rPolCJI
q/pkLt5NbrJg7OmN990KPynOqc3sztWNM1ELo2Sti9CX6kGUe/upBzOQE+P63kc0oyHQRYi5HX18
efY85DxB0kfURMEVmDobPmtkhEacPb3T78oOVJw1tfV+1khTGZV6Bfb/ZJbKGhYZ7mfYQ3ccsBOU
tQaHj16cU9nzsCgzFb0GSOM5XpFHq+/5LGuWDfXeNI7K8pmrDc2gcXupWOwZy5yFSQKVn2mOEfOT
dQ01iY752a7qN6/zrtVJnGuOqHIk9a1OSSi5YV5aiuaSgJwWJuf+dDm41crZme7sFuQuzyiO1W5n
Bq27fOpd+4od82qq+jtRK6celPg2Lftw5fHMEW8OqHPAdFpOup8NuTTXJLQg9v1nLcsRxExKkB6I
72nTvjKRwu2ocBLr1QzrcnJtqlvJAXFGcQORmS8uLCG8QfAvRmG/92TQYdVS180N+YqeOuz93TBs
k3U89hEwWbaxFzuZv2epBXXIzGmMbjqxqWNE3s5s9jY9VZAUsa0l831vNeyw0QfFjFIIyhDvV2m1
fOgqPhKufaKNOttUc3SuBEdvc4jmwMHmGwGtrmrv3ovMvTEvbmCXnImGRVyiGh001ppt3LviBZgb
nTosYxWMjAGBRj7YVvbMpq7HcTflW26rsDD15G0uK9sfzHQ7TuWRG/plMatx34AQhYY33HH44kDC
fni0OGzTTiNtxAaxY3bYkQv7I7LNIG8EuM/xjjrGkoZraihSgwQbJKdNGQu+dhzvLTtz92s5vIHN
kHGLFod6CQXEzhqFMm7lkxYonhdJm1KvqNyVS/VmG3y2GwHeH4eQEog5jmUdRXlW8cFDl2peNCJh
QY8wgeWWhKOho1UCiqdXgXs2JWzqNkvVfiv66m3w0ueKNFqAi3C7kK73Nd5yuCQwtCckHHa2arwl
/8JrOqb0YBrT3otNlHWQi3xoLLyP5viYLLTP8kwM+oz5NrWAtFiOhaaikI8YXFKhCGRcsXSNXtfK
CvHRzE4LtQsybU0oTJ0mMKOAPvtl19IvYlUSt1F/zHJc7szsBT2W41mrcOkN5TU09ObsWOsJYjpn
XxhZLHkPxPZaJGtd1jyq1UsjMnHo1ubR0Pngi9J4VuBO9mn/Y2rE1ouyRx72Kg0gYPp4/kMTiW+c
tHkgdrg3FADKDmBFaZ8b/MWkARKl3IHe5lejCZSwRTrRHeed2m0lLMiyB01Vr9ulci9aVDQby0rA
A644OOoaaY6Wp+igtst3W+Fi6JNR3+a5+0DEE5EnUo5pHH9vmVwhsCNyZPWuaiq+3qlvid5qPkpd
vFE0673OZtpP+/QbEC4gnY19qw72U2Xau6gW836Njc9MnRzusSQKdL1NNu5cJluboCITBV0uarVw
+WVa72vpwmy7at9sgkGoGOlmrXljiUF0YbKAMc/gKgW2kn1XKZ2BxJgEPfXlQTNSmzIKXuq+3dFA
NQSDYYEJVf+XvfPojttIo+gvgg5iAdh2o3NkFKkNDkWRyDnj188temRL1ox9vPdmFiNTTXU3qr7w
3n3JNg7YMkYONEu11VmL6ESLg4Mht8J1vuFsHkl/ZWnTa2SOFhkrvEIFAMmkilNVfM6cgOo78JmO
Vsp9WA8PtYuULo/cZTGkOAs0Rqud07KYKlCnmOEdeaTY69N21wGxXGaq+2Dm3TVIB5nI0CKoI5sd
BSHPk9G36zEgMkxP8p1C5cQDGavLQW++lkF2HYFhBrxbXCHxthKgjOYqehvQeyileBeqcq+gTfDs
TApE3OTdltIOtEev/VQfXG5ycset16a3N5XT1V4eaHs/N3IPVqe5HEXyOcgy4AhjrS8dJHHgeNbw
eVQnOFIYmJhH0O5rXbwvJci3BLN21qNi51c1f+YkzwELWpix8b1W02CVnXJrZ65Y6FmxM93h80jN
BSt4RjFTFvmqanE1TFYX4FSt+Odg/l04Q22uisI8OIgqHGeiibOJ0+G5exc6dA2+M+OKydBa7Tvy
pHl08RnfpAEzRL4LJ0NE7Sq3YpwISXknIj4jdtPEgoQj53QN7t6sYWUKc6857WucoRJBpPu5GqG/
ZZ36MKfRfpzSe508JG9oOFJt9WvfIxhyYHws3BbQLwkLxxKMR66OkPImtK1uic+zFfGbS20c9gwa
SSJ6m7N6T3QxgCCkxrqeP0Xgg3GJPpQ9sqCGKs9OOPqId4I8jCN9U6QRv2Rnb9SxfhchJZ1djM9G
Rs1Hv7eM0viJPfHOx6YE8fPFd5KvcdtdTBPXctRqXpCNEMdybkqj2k6VfTuGTAMtmYFXFXdj425L
0925qKwrNb62s7FEc4Wf2AhXoZ+uYEUc6xF4XkTynQVeat/ERIpXga0nN2k+i6epiIRzrhSr5/+w
WlwqE4OfziqVf3Nef9sMSJ/A/+9BJcH89NK+/Y/NgPzBH7pQFVuBQF8nvQWCP/odFqF/snRNQ3CB
vMOyJZvi+2aAWG7VId4R24PK8N7ip77rH/E+fOzevkMm/pH+UbaZf+yXaLMZY4MM1QGXAu1jHP1z
G9p0Q1dlGMKo+691YMLSsb0f3pTrr+oSftMfXoGpvUpLzTbS4l+Iq1XaQn5sdKHsJEZnd92FC5eQ
5kdFvbjWDQp2zb8O/bnR/m4NK+U3f/mK8jf6obXWR6eOZhqcS8yZxqBW6tOmD61aIWVrQ104kMis
8iykqK0RaxFPFduK0bdWbdaC8JQiOLR2+k7IHIOpKk1Pa1BzGk54tIr0MXd0eKm1+q1XkncwRU/5
nF0LouI4A/BuxAHUDDhadPJ66KxqMH0YGaMA1ZvYNFMarS3LNtZBGRUbfxoxlpJou7DrDun1jLGW
vMo7ZSBoqYtuQXkcXIuSxo4oMCufTwlCT0aEIzrR1jMnBNhiuPGlTd9XgEsU2rUPSRFzxC5Xuwjc
WnAgyBqfufJQKwB6+vxLPxvX0Q63vT03K40FQdSaOBCcfRiB82J9MayVsm42aMtPRWfPd3Yr02Pr
jyTZQobKCtJlYxkzyyqFxFnueP6PLuNEuqSBeWzpxc95NuM+bVo6H0zuX9HbHYUYTijfj6Ud7cZk
ONWuf1bU5DzN4rOWcvlUtJ7Mddn469GraanfUmA/q8EyT8AB9r70/SflsfWHVddNO6LPrupcLbFy
eNE4HYdpPHYOuSbtTHh2YA2Hplc/V52+AmXLxZXPDxaVLXaXKTlHXX7Nk5blyHBO5oTAj8RejCVb
oaQlTqQauRSbnsYGZhH7EPuhaic0CgqVq56V3a7rhnaT+npz40TVdMT7A6KA4UKaAQUfLmbo3DYd
0mFgG4gZwnqtldneT6MrUNm7oc/XocLHQgTWyonYwmXtNzvsEG6K+Aa84crtEPuEo+a5uvBMfItt
x5BRikXFYG6Gul+rcKlawZ5IU72iKO7m3LxmfkXs3Yhztk2T/nacwlshhSlYT1FmPpmIREasE/el
qhjLOKrfcyJCM9/dGAPTi9lPFwzTllrSv6lDcMgZi2DNBUliuzs9i8nrMaIViWLE8gTXMOpPpkUp
YGWbUbVWqZ2j6fUPTVNsKWQBZbYerecZKI6nD8qOg+JmcgKoJRGceLQS68o1Hs26Weo8IcsqyYdF
bqXTNsF4Cm0hX5dgxJmGKfukme+bcggRjrSw14u7uFc9gP98rX0iWjpHh0Mcv8S2cyqo0Kl1h2Q5
NKCQ/WbIlpbfO9uPY+3fwauGROL/X3qEFOGB/tb+OnmVP/f7nWd8YmPN52mwE0e4gN7w9zvPJHmK
sStNkPHfOI8/hq8SGksoFdEdtsO1+PudBytBVWXSpvxbf7sO/8Hw9c+7cJN5q+O6XMp0mKzq/3Q/
MHgYWPJZw7VT90GMQxwp+OaHN+V/XHq/aTP/uFileoW7FfY3MDxdBiFzt/94CWksPOI4acqrMaBg
bLCgNGiWQkPPjWuo1hVs6EKMyc38UaWFDHOe6o/azVGtaRkyEtD3DLKWDTVeFY7HiJoPAwx0e4pA
hO3kCaRXn+owLZTdRLWoUDW2KvKtiTpylvVk1GzJFCdRkUqTabrmWdSeSkk4L7VoOiUvCrVpV5Y7
rMRPzKTAjkXhJcDC5OjpzpYlrUZtW1PjlrLYTSvT3kSyAFZQTy1aamK6toQoh/gBJGhlNBhv86dA
qDtVVtJYsPZEIb+ljRuyIcTaN2Vvvqy+nawEcSsr8orSnISkIy7EwXNyuSUa6PFKCvmRgt6Qlb1m
5tgsA05//aGWtb9OE5DIbiCchteG9mCSfUIVl6dcdg5uZRODJ7sJv6jv2CSwHDWBwAa0HJnsPdrG
uKGbC5YzbYkSG+tZ9imUSBju9fYdtiVeYjxkAK4KtLfmwZZ9DldctEhl7yNU7pBS9kNj3OWrqNQZ
OOI/WmDi+6zRPhl8nIuChsoaGApneno/ZC7cGpouRXZf+lDuXK2Nz2k7YFhSkn2jRJB8tYqxF+1b
0L4acbF2aeqibCAGYayapYuX0pedn1855NLTDNayK2xpD2faxDJiIzrQOHa2+erITtKJo3dH9paB
SZdZte49wod3MxqWKm1oVFnDUqMxDWWHqo3OsqBlxYj6VZM9bG22cuCZ79IowR5Hoxs5UjVhoKHj
Th9WqNhdckC7K9u+h152ygotc2iEzOlpooOxrbzCDjouZ3a6JpbrHjo6ERMp70N8pzPFY0+K7d7t
PyfqDLNhEu9x7H6xtERyeFD9GWMCQAcT7CnPmAxQ+JRLzpUHkHl3uWmVwHCNS5DathcWIXfSOH7p
45Rvz1ABUMJwsmBb8JwI/170zEd77LYmFJF1X6sPSZA+NIxewXc4uP2C9pTZynurOM+gIFj0JYzH
DQb13sj6ZMblIgrMwAZYvvJDOziYdeVvS94NFxFydW8Fw7zAhc+33E2ThwR05s6ax/jKYO2+qnT4
5OUb2Q27KClT6FjlN62tqpayLmBv6iCtHdpDxyDys2m2Xir8dNmIx9xdjZspnOJjBmc5UpTbuotd
SaFPK8z+TIi8HiyXYo8M/F1ibZvUshYz39/AKNFlGieTxLylXRO8DW2h5NmUEKhzU9hPoWO9RSrj
WI61CpmHts4w3/XhdCDq4EUZGf22WIus7jkgkFieObd1rq3gUt0WGhEZmnILFYEQ9uAR1/Fz47AX
0tSDOwQSWXydyM+eG3ZBXbKE+Pqt6xXaZzv2kqZNVpj9mWTCQ2hqbJCOhVWkP9tEgNVVwrIJzQul
6MCECllO7CiUtsplauvHLHKTFTXXWwPHV6/Gz0rzZnV8E3thrw0TysjSJ3MMEYo/EHCAd1BRVmo/
2Y920I+bqmJWEgfgwSynbMtzAiguK0zQUzMw3D4PVKbR0jqaFGY54TuaIWdORb10UqQwjpE9JlWz
rtvhaRjSx6ZSnlG3GDdqZ81XLrxqXafVS6Vru7A2vo2+c6lmaL6pG0jOBNqoZNY8vOQOGwe6gGzO
8N5mznQKsvCOYd3XWCe3eUi69FDPk00QQYtkNGecZbbhc67zKQ7hfRQVsecayr7rm6dOK+Y7/OvZ
2pcy4JLfD34Fd8/STTgDOiUVXtOV80WB2HcvYmPyJmKBVkENRJinvPnsuw2GltbOtjzNjleldBWi
77e9xirJ16H6GCQwb4ZcDUkCIBYxaEkGVdLI2g6pq8n4zyv8utvGBEUptE3cy/ACxYdgzchuFto9
wp+nWhvvAqsWOyT6T4XL7NgMZv/819fur2pJFWU0azfh4A8Et/jzpSvSrtQdvequhQMjS7vEzr3g
t7agW8R/Jx39uYqQFzwaF6EZmiQRkFAmu9AfukyKXALmh2a4Oj6BTY8Vxjflb9Sff/cS8s9/eAlS
L9N06NLhWvJgglJnWvXFLO/++j37ny/iEkJiU1tpuqy6fnyRJkwSdiPDcDXq+6o4Ek6s9Lu/folf
Pxbeqh9eQiqKf/h30LgwgzXH4Wo6dxnGNYC2VCG5/RJPf/NKcpjwc9X18yvJ3+SHVyLe2MoEALxr
Req1lmMT1vdddhr6VZ/t52z+G4nyr1JoTa7wLTCgqAVYyvz8cm0Qj3PdagNIkycNC6Et7oPwMGVP
H+/fv70G9qi/6DVOb/Xr27dfOw35U793GnQGFqU2/QT0DjgiP3Qa2ieQHsJ0LQioUtXx43RN0JQw
+nI1+Gu67AC+T9fEJ5oMg4GcYVC848z5JwYuMCU/fSGZejlgSqSO10blAf/kT6J8Q9EH7vkkuSAQ
a+u920YItKI+MxVSSwiiw51fZxOJmnF1o8mFlp6RaJNtx91O9WGn5R+lEOIC5zGcuAvLqL/nQKoP
KriS8MnnG0ieTp5IRZO+JOPnMiWYXSyg0dtSt4hEGLLbIpkuo5L2CAf0F7A8jNnr5FCq8zUXuF9s
v35EWbLhmJ7XnTM+zurwTeCQRXLPX2DM5TYYrTUix4JxjnvD1x73cy1j+DL0d0Q38ji3CR6q7KqY
BktXdWqlUefiFP4N9jB4qVInGgioWGPtbHtRwkhO2H4J/dksAVMOxQQpNZ5TCHJVv2KMGG+RBqYr
t2YjaRW+WGVV+NQRMODlVplAewNRMJcqjMwQc2+nGOBQBtGG2xApBaj7EtndgqCZaTGmSroNQxUD
hknifKNp6UGt8uDWbu3xs+hryWXmaGjGyLpEjk6UkRZp52ky6V5M/RrmReHlDTWSqNjwU6I167DI
UBHCF6AZiR2u0KrdkkI2e1MIw3nqNTD3FK/NPtZqcJ1daxycssadmrkTGtaGyVm0N21FEBuSNEqy
1ocECaKdaF+1yjC9jsGlXcXxKUTfRgg3qwhy7sOc/TzX5lolXNeMXfhMH7wqo07e0qL7TOrdsVDV
wMsgzaRtgtkG9kztKqdGwmhCqDRWmbJoQMYMrUZXkmM8ECxRwbExJNCmlWQbRD7Y3ZjejSQRh62d
XK14YmdOiKsRnzMrjOcTaHgS8ZJhlZRyKGQS90G4+a7LoKZSMOeAanRnlc3B6zzilPJByFEXSzUn
jDxkRjku4Np6hcJaw9ZUE4QmbeMZ4bjqtJaFGL73sR29qSUfMOph4pJLgWfZN8+tGDKPHrnYKgEb
UJZdqzHiv4z5e0PNXdnoOJeJKgMSLEKtwKL0FNBR76mjynJ3IEkQESrY9ASxoNoeBFaWZWul+ipK
kXiomf5FjBr4i6m4oyuM0Ley9/PzxsYeTOBg5GBup+9fNLb9lvnBN/S/KQrclCX1RCmrxNcOTQTf
AX2lqZ29BIiWrQqtRu1cDO7a4auPZI2CUK3bwPOJS8QpieuYAOMYIvIeBUlx/+/98eEB1v5SJAgS
/q2OXtJfbxD5c99vEI2BlPRrId6lw8dm+8cNoglWLQhkKCY/uNz81Pf9DAMuw2BFQ8oQtR8Uzz9u
EP0TbmLLwRrMlEmYaAj/waxK++BP/FHSWDhK2JzoRClR1cqx1Z/qTDtkEToq1XQajRIksMYY3T6V
Nkbad3Wec4tWvVVbukMjUu15W4gkYZTrMwFd4StJbn09lJMVf9jWWm9PkmLwGqhNsyxc/wXX7h0n
aXbl1ghZ2wt9jWaSZEtTbU6FEO9hydmTZPj8tRzuI5mrxspuYCzzHNocgJp1nLsm2yk52QBQb4gP
YTON7zJmCXLmfDboRtwjKtrkgN4295jiTuvaYhrCtcjyE0fsEgNuvcAM4Z7NftonVnR0itY/gJpJ
1oni4q5C6Q1nSBfsfcl1Wo+uHXpGSxtXMSNgXG2XXjXSUbEnx6BpKs8p1X8pxnzPTP1eE6FKs2xy
jEeM1AJ3Us51LF6HnEaxKmxtU1jx+xzHX+whQutt9lq2G3zCyUsG7w8gLn3W0eEpaAwWrmH81gaz
/szYRL2Zkbuse5FWnt2kiNQnGaEJPYosXMXXVmJQlT03nHq0kE5tolBHbFB34ljb9o0D7fmOSRpp
k9O9UnJkFWZublSnuLEFZGAMxaDOWSky3mAKOCc2SAR1gDg6JcpRCzsJX6hD67kvg13pq0ZyaP1J
azdQJSfGLHNdi/oS8tn1AE+j06Qx8+GsYXZfYYJQOddQ/5Dg7bjAG3QuS2tXtpNMVO3SaAeXdN7X
fe5eIsTx1aKYHXYo5NcY/sX1kaaEEXm8veYmR71wPS3I5jvyQrXR+/f0+ji9TFqt/z9pv4uaBHlr
9+vpJX/u++mla1LjTA9KEDauL2mS/H3SbnyyOZ5QolLM4j7jj75P2iXAwOXMw1cGlUeTAQb/rX+Z
tH8UxLTRkgcgq+Z/cnrZcsz94+lF1em4xBpISoLgV6E+/7Eh0/yu6ZJaFNexVu113iNyMpG5LTAj
bUO77ih6JjR1cDsv/CPUg5pmKNMEJoldKuVWUeY3J/gIcB0No7qL0YVurbFrzkPil99K+OcbW8q/
wtSeAMFAal2WbN/g8WjKeG14dC+UUeazoop2rfnk2S0h2abenPv5OQlK95ujIMMbU+sSaBr6Wsqg
zeyI7AGlm/Wc9mBwBt3qTm0Tkm/VyfwYu6Ng06ypeDQ6ldWe0ehvBVklT5aa5tvAIoM6L/3mpSel
YRWqTrSya3fY2PHAcDbsy5tBahE7dNLshEsGeJrZX0IFc9trAR/VPGgI76Zx3RZJt9HmtlPezMCN
wzNQg67CI9TkNU6wUmZIaWN4F8Yua24MuNVibo3ZHs481ggN1cCExbMu0sGxKYd63HEe8V9pdBBK
TmEcden0Ne71KlvpVCYuG/BnMaTGC6MGq1igSM3XQSis/dQR0Qz7eX4xLAtRUK5H6iGQXn8yoVw0
Yn3wlW9StFTzeX7xm3B+o6x6Qle3zoNor0hHVaYJIjYthLFsIAJIL1oHAHhylEOgEU6ZSB6C1WL9
WIxZwaQwGoJo3TD/Ys/dZzQ+SfXZtCNoRa72YCRVSF5ONS3AKPYLvCztVsSNuHPCMtu1Sus+lGol
zqOLhhZQmasu9NZCRNmo2VtDCtVXxR6UvZG2GNbAS8eOpnh1y4CwV0AjrZi80GiMfkTwt1I0u6n0
81tu/WZnMan+Esya7c0uaw/SJuKjHSM7bJQqfoZqXBDzZ0/HJpmL57kblQNfXkm0yIcLN6L/5MzZ
8JBL9Rr0Vdb80VheQ6l7y13DJl0PKXFDxplJKHrshu2qGa2GtNRpQEpGtvdW7/U3V/REjht7exyM
G4BVTrBQC6G9lVIrWMnlqls2dGYDteq/Z/FvlSQH0/8/i3coYH89h+Va8/s5rFmfBJ0+FBXTsQ3V
ZNjw/RzWiL10VQ5A4GL2B8z9+zls2JSepqvbwmbcgNuE2u77HML6hPjH/h6vKQ/Of3IOi5997pz0
RM/IQ5hSllEVVPmfz2EjTEst6DFgZIkI1wXiNW8sMvZCN8Al5p7dghv6s1iZYa+G+JZ6ejssCrqG
j0mfsASYUwQ+r5JShwv+UXS4C6fjecZBiZEFerCVhsZGs9nUUKWYadTcEJPF6eIpvlvkABMhJV3R
Abl17tlq2RMJZ1lDg4ycJ6d5sWfSSWZ0eUSaqMtxrOE1sVQL603clC4mCDXcBYDmUb0M5gOqWLyQ
mMCqrgAhbyYxa8Jq6A/cqNNad6L8bKdJd6uJZPiq5pZVYtMNg6+9WY/rlFPgSB5iwVqq8M+xYplr
LJvhlqQfPP8O+DVmMToJll0xnKCbDmcNh5pX++V7MThAq7BF1C8gjZtl2po6gkDfwu5oxe09/oxs
yTtovTpz6m76MB3Y5qE4wV23SZmO3BLqRcCeEcB/69TR9BwNaLHVtgqeXXU617iZ1wm65rVZaiVh
jA02Xlapxlc+pnZb+SoeMq2Ee+O6of6F4cx8DWdIsqDtO/1rwr7n0FVNsJuSuHkyrMYgTEIHIVSy
hJihVV66LnnlLc13lSu0O62JVPw36OxP5oAOxSLP9DxlSUDKmhWdrahpNi4M8VU8u84Z/aq1zaqc
7cKEljskbPjVFGN6xNbXPHZZ0a0bSFwYxiP9ZBiazP4Km2Q9uT4r0rESNyz3lDV1aHM1oo9oNLU4
wJnoUY0ke3/KZjgoirOurGl8H0ywq06ZBfuxiGi5rdhWIMUK3D1RA9+nmFLW0C3ldDU5zK8CcNvY
U+bFaNVMY2fd9feklYlHVpSf8YvrR10B9Mev76+VBHoNojCcA3WtXqY5hOXiDPEuiHJMlriQWZ2V
021YO4PXN0O1mqIOMWs/++sGU3vwb5X7m4hSoyT8/yfr4a3+XzGF/MzvJ6tNPy1gXwgb5KMcyP5+
spLDBR1Loz1W6Y0/hr/f+3OOzw+BB3l/ciz844TX5GR1oSEw+xIarJR/1J//WuBiLGSALKe7qDKR
fPx8sNpaGahaOLdnu7HxsuOBxnUd6qlnV6a7sXvnhXnkgEGP4AJtmmNT2WeN002uZ0d6/Ez+X+df
Qr/oqh1R22XGyjJmSFUqVmdfS9bmwzUfynNpJNG9gjbCpd6cbYy1M7ozSExfjNTiEM+nYFOqPud1
wG7Nnxg2ccTr5kwMwMe3tbLIVNiZvpJhsdZaO22esxD3Mum9+HfH2TM60UTNWgeDqe3BWs7FXTDT
aKL48CUHGy7SxjUCgtntPNiMfSuAxQ7xRkkQTw6Vr236RGirYazmjUqA7+MMH0/bJu4k5pXRdFPg
Tbo7j1S++CyYYMgMxRzNfLNTy1mcuqkJYQrrhbiLhJDjMruMVwJvxEaDiNveJUYKSECYZXoZdRHq
m4qyejUh23+aB9PF/4TJGi35GBb2rkpxA6z+LX5+a0T/coz2X9Br+lK//FoDydbx+5NKL6ozEbNh
D32fiX2vgbDi8oyahsMwi4JHPo7fn1RqIMcUxsem5L9rmu81kPjk0Lpi3WX6xab1nwWKgob9cy/q
MBqjITZll+JgG/3zoxpoaVpbxUWHmkVDwPhIG6ZpNY6o8Enw0Jj5JGviB3YA0JD0MKV+zlx7n/XR
2nFbFP/F2eY5jS3lMiv+SjXZ3KQMbY9pZBcX1JSPk4qVDYOB9xEhDUVs1U/Jvaj9S6y2M00MLsq8
iO2bMTBmkiHBlKmrlGzeAkcpjz0uvPMsp9WunFuHfpguAeXli1xtw2XEeHuWc24tmDxkQqvZJ8LY
lbNwMA4ZhZZ5HuWcfOKcWQq3sbxQTtH7Xn1gme/Z8bQa5Jy9xZezFB+zd4bwQk7jSzmXr+SEnihN
QNMfU/s8fnUj11lNcqLfQbiVocM7ZKb+jiwz4j9IyC5yRd2oEq1sSciyL3HLvgQvm3X8EFXUU8iC
IHsH8YVLdSlXCYth5tYVHSbvSgDVrR6EHVxKiXjGCHY0x6haY5vtFvCjOy+XSOjBVKulW8PzTqru
RJAQ5R8R02vCuzZAJfYWbGkiPW/dGBe1P8RoYAZta0sQNW7cb1iDTkE+n2eJqkYfZSy6uH5KoVj7
0oiVwLUG6s8JIlHXQYLATcKvSb9OcC0COislGjvVBSwvcZNIaLbB5p8U9GBVSaD2oBSvlc74T1eb
sw5z24S9DR/4CLH3ghL9YEg4N/nzB3rZiRdtrlUEWABUL+C4nt2XiSWpyYNlA+27qoyTbYELbEnh
wBgFEpxEQC+BEV7HyjWR0HBs1C2oHUDioEdudaGf3DJFPTPhyzQldhxHEiNhiSJPJZQ8TmCzpHDK
m6C5HyW4HDXUKTD9L1MF0jzFcc1gT9CCq48m1PPYqGxPS2MI8Bz0DmT0YCAdHlL6DDG9gpxeS4R6
JmHqfiN2QRURdQ1nve2aS1SgjLkpSDud3xitJFs7yzw3KR/hmFekeFPsRbN5ynH97OPWfS4S9ba1
6m9OSRR9hRVpDtZI8L2yGdiYKuta1Q9FGp6jotiPcXPmbrv2ZKp5AGQ7JNjdsBO+9T4LhRi6eDDM
TdT5Nj1y3s84YOdTUCFmJxpwYOKCwH0wBK9L2G1abwYpgZ/Qwg9o4mvruZES+axzH3LE2Sna+VoH
4ZC1FlNaooCotrsZsnkfseKxuhsOOxSLrYeuoiQWhV2Oj0Yfm9iRvAvsUE57KFDxw7Je+lNwN5cg
BUmlN1B2I/nXa1KlTHJfNm6goXmX1gADj0AqzQKVtA3o0kBAncvctuObk5dsAHNpNEA7dHVwHthm
/l7gRCDqPVmS+Pc458ERCR10PmlbsKSBQZV4X9DHXx0J/HUh/0YSATyp6jWTUOBO4oEJc3qjsgBh
DDm4kwjhTIy3hoQKG9CFtQLKgKk+TVCHHejDrlQYIlJlhmyCJh674HMuYcUsH9alM216KMZqWV9d
qMaqiNezVK5b8I5jG/Ax3de2kChkZs4PToe/WkKSDdIVNdb9m1AClAmmL1elhCpXin4is7242vCW
8SBsRwlgziWK2U51+CzwNRAbEdMHr5l/awTBBPOpG1UvoYQ6txLvLOA84/t8D9zXiN12AwU64T3h
HtDIimSRS57nlTCrtSrR0X4vlXwSJ91LsDQIj01YgZqOJHR6gj4d8ddhoqs8ywr2KXzqMEa3KiSy
2pTwaj5QMNb6eDvmqadlwGWgVGte5+Rb9wN+7dTkWxbj0le8xDEOoSvNWcCy1WaOdhzHuLHhaAfm
uFbC6k4HsC0kaZuBXMfGE/QPk/jXBFopUQHGprYgdPdVxY4CDJWul3cdEG+2OPFSMapNhwbWSsrz
IHnfJeBvLJW3KnAFyDzTmtL7UIAIV0h2ug/nqVsP4MMTt2Pqyp4iQ7WHxx7N8b/11Ec9pf9lPXV6
y78Vr1H+PyZK8gd/r6b0TzQWBt4sBvx/4uabn2BNsnsEISLRJn8oWz6E8pI15xJhTmvzM1GOcdLv
0vp/ME2yhNQ1/THVR/umWjJK0JH+NJINZYv341TfTtvAIeVcuWjsvfENc4mZ85s/EH2WWCkWd0Nd
W1rMgRZk6UaNyvrWrTPlRrd7heA5u8jt2yBwM3JDtMnw8ODWZANH9vQKDwDTPNwnvsOTuYkrqCIN
yHhuJySDjemaGyD+FPn14GxGUHGrvlTcNejyp7xM1NegSnGS6GO5LkLGqQPxJ4SA9gxDC/5bg6YM
r6lef6GE0BbMwh1vRjO2H3J7H8eozwdiVK2QjMCmUzad3n3liFN5sGpSy10Za6v35I9Ppyko3EVm
WytQpf3ZySG7ZnUcrCg/eRgnKgTCLRCzJyNCd+azxoRu1SEwfqH7dbma4aFTgDbXuMGoCjkofe4d
a7rTtM8R+XoLJCHnqApCD/nSTTzDlMBufprUGO38EF3AFL023GYCc9vCbPEXOb01rGxnnDcI6aN9
zrm6sIxoRJbRqKvGqjDdA+YbFs6oFrxnDiqEqFQuaNpBGwUuCqPCwImN5oUJEn1sMd7MTmwDtCCb
a+xVSAhhuHUTJeDEUvmhZJ6jtaJ4OdGpBmi0RRwP+H4oWRm82FK4PJqO1zi2BLsCBSGbnq3IHZKP
ctPHsu7li53v8rrvN1lTRHtfKM4pMhkJLlrXB0XLD+cnrer8G60Ln9MQZXOYi5egzqzFwLYVnbn7
nGhtAC2sfMfynC1bJTjChkfHH0+XVE0KLALZezhbXmUE7WXKzGmZwRqlOnUS4meSQAa07uq+svfc
4Bog3Il9CuJBPcs2Zsj/uLWz1EYLNJ35geUhGG/gF2g/gD11P+jmqZee2gmeskYdbFytD6tHrU6s
2RlFGUu9YZxWxml7rCtXBVpQGxdSa8W6rqzqIEz0RUpREDAsURrO3G0Y135h9eS16gg1TBmbPSHb
BiucQFtbpu+cEwp1JXO/6UpzFHF2U3TdA+6/U1PaOg59pTxPJPXtdNlHoy3ZSsiMLGLSexWOHhfX
W6uMhyi1D5FpH6ewQDgTh5tqnFYCERj/ZsKG8qOVAR7qlYMF6jULnWAZdZZ/yp2SfY4oCVcIgztk
aQEOFQxbcb9NKj4kJ7T3paRsK2QcLvTEeQmALTLajS7Q9FH853gJlbbPWD9XS02kO7e1Vk5dv2S1
gxQMUlrhvAv2SV2brWumHSx/KJMbEKu6ektV6IUguGxGyO4Af5z9EanHFtSNMX1wUvVCZNYDin8i
HRO3EBefJHfSdOd3Woxba+52NjJnI8tWoiUWEYzkwVKSZdz3L6EwNqLuKZIDZOeWc22S/NYp9G9u
wjOcpcZb6063JpsxD8Ya6QtQAhNyl/iMsxhOhQkAIaDF6Ge1JA4ye52n6X6Q30ctiXd1F17nYrxk
OEXsWIZgFFTGBdUHL4+H+ybLx/NERLI+04L6nac4ENPJUkZCv7WFusxKvCcNBYHFPhS1watwiMsj
20rp3GUCDmYqi0teqs4qV4sN03uq4S646m2KiCrYjgQesFs79hT8VJov+CLpjsZlxSOiox70a82D
d7/02/StTt8Kv7sdWZDFjrqdVPwZQ/5k0RU0ZMSC7V3lLbAGX78ggblrWrE2e7JCg/HWHN37NJ51
MGgpXItB3WRmvXR9l2+gT0iErdJNZ+9TFZ054dYTZoUmdDzhjEjLm3BnUDghq31StXY/W86dEOWT
Eza3AVS/LvuWT+VbpaLqTkdtYRvRGknHuvEnDwQd21bi6o3/sHcm23EjWbb9lVo1RyzA0BgwqEE5
4L07SSclUuQEi6Io9H2Pr38biooIkaGUVrxx5CAHqSRBuANm1+49Zx8Alag1il6/FX72VVNaCm11
gRFwwFN3itPv7EahzkvvYrM4tSZ0df5SiRAeiGO59hUOKGq34VW8ahx7o+nNQfc56o/VOij5wMac
YIjKz5lziJehKz7xq4zN6JNt2hgERsYhcpBwcJmbPDd54+ZMOdGJ7GdFUsuDtuzrBLU4m0RY+pxr
4ZwAYpRb0fYPWZc/teRGT6XcS4kFIDR8t2jrXW5DZmc2CjnU2TKPALKtPhR1fFso2tanTIz8js/O
WQfkgMrW5OmU297sL5yWjiVY9F7p7mhU7OzRv/b1eZ8b2aH3tTMRLPYq77AjpNMNMpI9LxgWGvsS
QwXVtfGxtFJvqtXOFY790a+tS1M313lj3nYjSkvmF9SacGeARNDQ6BYL54mCmG56pRIAF5zrZaGa
i09T0h5FbW5LFHpdO7ixPrjNsLSQ8iNH/Y91OR00URwVIBzXiq/6UCkjOPGNMbqzaA+1qnKsH9we
1KyixKA/rI9xm8m9wKiCtrV9hLm2EkYCyglwaqR9sTJ45G31KanDPXr+a9bbaK3WyVYbmqM5wzTV
Upm4s6o9hmZTbhw9+ZDVLWOlMdkmunYTJ6SkJYiV0O7pzJXkzk8sdxBKto5mAgaa2pXBAMF1El6S
xmszzG/GwNrG/ngYIc6UCrmzTfzcMidj5AJuw2/SVdxL7MvBumbo7ypUCEnbkS7IJjESKNsr9pe+
x0scqduglxs8Ouu8wNiXNYh9g3HejFl+hKpzrFvzQwH4fVVDwiKoZdVGCfRZJtswQnnWOXggOa21
goif9jwrw2NTly+dXa+DuEHUmI7n3uhoTKhsf9918X9ggESS8rcKEYk1zANmng7c4bcVYjvUdd1F
uXKtZrsIDGuR3Cr0j35+kWVo+b4M1ZkNaFhJKW2/ia+/U/tHSkZmgaEp16P9uR62Q/c4cr7T6UqE
v7jSjwre76/0bnxa+PBtZp8rCRsVxpJwi8dy3hfWfdw9RUQl/PzGfvjp8TahnjE0jdHC20+PWKLO
9tMiuOmVp7Y7VpCP05efX+JHd0S1TLHMZdDmvLuEb8lRddDK3mAojIdtRx80BeibBduIAaNof+HM
+cEd0XDl0MKYxhCa9e7E0OdWIya1jW6iPFhFegW5eVsmv7gnRkHvn4c3F1n+/bvnofGV1rR8LhLX
JHbXJwQUv0/p/iP7/le3sfz7d1fo27nt65wr1OWZ/peboCmR0S8usvSh3z3Wb27j3VdTJktoRNZE
N6NCn8ikjwF7FU2HfISeazXXomt+ccUf3RZDVgggiMVM+OVvbyuJbJLFCJK+kdWlQq5Ck0D6X3/+
wP3oGkywLXr9PAcoZN9eA9CVYtl9Hd8Q0ITrwZM5Upn0488v8qOPDlku/gAm4gtu5O1FiiGUMopw
XdblY24RssrZg8XAAanbHY0eErR/+fkVl2fq/Zf1/RXffVkkgDt1qU3xjToqq755QPP1i8VAe/vJ
gWwHAi8xzQs0eUsU0LvFpykMAulHLbuJT/Uei63bnQvXXJuX8NZ0sR9vsBNufn5Xby/57YDPwv3X
5/jukohAshFiUHzTW6Sb0NUUzNdEsfv5VX782ZGvpC5uPetbNN93b5M1Mw9qM+hGfkXCpHa0oXD9
/ArLp//+2zHgzwPQIUpQvn+wy0Zgl2/Q5ENWX022oNp8igySZuL4F/fyo0/s+yu9W+A4EUPgk1Z8
o5mvoX0x/btq/sXy9uNLIAUirIk3Sb571CKoHLYBaP0mz69NenMjVFHRWb/Y6n70CvGw/XmVd199
UkOFnQKuEiUvqbLzdWVdG+S/dW7S3ijQ5c1ffEd/uy2BXEqqIBTYihZY79t3FpGGLDNJS7/tt7Ai
B4v439ufPwZ/e9DeXYI22/fLdo7zXLfCKr0ZgMJpCpNoJkT/P5dgwCmRATj02d5eIh5Hsks5ad00
6Ysy760h+sUF/vYocw82El/eExpvCFXfXoClUw7awhmizss60w3jfUT7Ondev93Iv2ZDjafiJ0IU
Co/m7/Pt5Yf+6MiS8QGBxERxAnr0b0oUHc+ThRUYYtfiof1jvG0x3uY/klYpzdJFbfJG4oc2RQoN
3BM2k38k8ZNv31uTnq9O7ATbg0oxhwLx3QKk+XpL3SDNKzoGev1REFnNFDafMg1SrNKR5BGzGp4b
O9E/laBHqi2M2MuCAXJUPc3gBdNOdVup+hYrpdVU+6yoMbTJnpSEDvamvm4a/8CYCAwPo/A5uRRZ
8kAzDGVs+DQyWYaYoF9NVg4QN+egxTCJTLIq/FzIEKwgvEfEbqBAJhUKc9ttYYQkxAgnkzfozV2o
+Z+WI1J4LNSYwLA0zILxPkkhUWdRN3OUrZOy8GgkjpZbkNiZnw1lsnYTuQ2REfkEHqTDWm1JkvPz
vvws4vkp6JlStxbcUq3MNxj8BgCRAItiZRdFDFDHOv+sEhWMMo/D+2xkH6NAeRFnUjrPBefIUZd8
POkMwSD1P2iVfckKde1M/TaeL1prfRzY8S0m8UZOZ+/874v4u9yER/c/v4h3tORf67+/iQY/9ceb
uLgecC1AUsWN9Pv79qfSRPsNAoCG8UrDFcGQ5K9X0SFtmL3TXmxUGl53Vtg/lCZIdDkDqSqsZEYu
i5LsH8xHkNSyFv9VdvAuEgxJjWvSNcOaLNVly/uusOmB7baV4kzXlNvNRlXSfN0wi0ugShPDRgpL
PJrI2k1w5Kafl+dh6O4Av29NOwGbtTRRolA1T2MOnaOPwUN3jXHArwGdYtLRaGmtQxgE7faxr8qL
MNBuWPBajtkUYHCNi0/ODLSLNuFLzswWAtl8yaICU+NQpJ5SEsNOwsr1DDjXzYse8HNJFyQqIJgg
K2EeTAqsm2fikuhKuu8z4GEZbDwVr9EO1AhyVd1v9hpuCAY4Vm66UZncGpr9OiTVXbHAeLOBYCzV
UvbxqIyHgE6gO7dOea121pMQ4tap+C2+lpxBJg4eElqvWeak/uCcVaaelS7S1Rj0FzWZ77Ou/OjE
1TEKmyeWqy05IPyxM1gcImROBkLRFULk81zaX2bQK1hF6Rbboj9Osih4cQdY+DSSV6E1bhzhvyQY
NrAMFBufiBGpVGe0Pp/iiGBHuaRTRmFWrwdz+jxH4kqL4NYMdnkbhQFcU1QR9IR1BkBbpctpA4Rc
z8eC4FaQWGyNrLCy2Ao5blQMHwJ7aac5G62eX2cbG4gp+2OONhUei7RR9tIAzLumRAEQZzC3hxII
MjoQRgoPxAydMTUH4NfKdT8K02umV19aa0a7rSv84Hma8q+dDApPJmbutcZMeLXapgznxY1fTxYw
AjzXKGUuYT0/2xDmVxrjETdMaVfA/TBJ6iO8SLT3cVxcOjUjDckiEYZ4oM1cbcz0m76XiA3NuoxD
8ECWj7Nqs+YY0CDzegWcvG3xuNoNEMUoCdAXTbO6k2kerYusITog8Nt1VDn3pR/fJBnKj6qxjv5g
14hKmtFrzehZnebAbfviWY6gz5tRibxG8ecd8S+Gh6c8Aelt0JUQHf1bbS6J8AgMACTBnfQlzxRD
/x2TmnPrM0nvcmJ1/HFWiHKmyYrVkwjD4cLu9JhL3V/lY2avzcY6ZZbYERdBZnzgXNPMhSevYIqX
obZXl5mNVdLHR9EcruJ0vC5GZV/TgV1NQ/LSxd1DnJFbMw03sdGNi+3tlUXqqhYBlOPBvuoHU13H
Nq17fDr9Cb/3jV7qX2IDwFNThjsd080QO1ejyO+inPQeIDOPadUCSFfMYGObcbwpA5xRrQ9Up6iA
ATJSgyX2Gs89pFjhMw/ADQIzj3xMg3aiE0R3RRigniIWZa2UyUM+FA9avSRn9cZzrcZPuYVZkPjW
dlUWKLERS5yBctzHtXLEFnCgH0+y3GiurRDIPmZIF1kUMeCatsJb9NhWE+6l4lTURBQNkvZwGMhP
LT3ZVRLozq4vpeM1mZPtBvLTV6iDjGuRFDboWpqsX/7dFr9ti8u5/z9vi6fnhEL+ld5SO+2//M9/
/5+4mp/5c1MUv+kcotj4bFCrqs7O9+emqP+GcJoNiXxfFdfvm02RaDihSlo/nMO/la5/bYoWDhSO
M+AzdHVh0P6DTVFfpAfvNkVKY4pUm4Me9sP3eY5YeJHkVrl5nfRpcMS9X/l345jAEAX0n2wHA1ne
JMmgqiBJ8SSne6MGUWZ2irlj3lnss0mAciFflVkz5sDNuCQIGNKENJdp6K1Azg2IMHkm84PixOZZ
zmSejqm6sTJSucAWbZzZfjXjHkTSNGC+94lBcC2ixPNxOMZ5ulFsukXosrvbtm/2oh+tp5Se/KqJ
Q2c9aBSKarGbQWsNIritNOSJqjXNXiPggOVZvWtn7cppnFfpd5dIt69nYjnofdxFNuimovmkBHZ5
ZGJ+rEICiEMj2mvOgBAxcLEh3mXC/BhE9riigAkxtegl9ozgkc7dXrfLdaz6j7qTPnehrsEXYEiU
tP1A5nDE32xIxJMw1eq6ROtVOMdqUX4ltTgmTXpVpcwCmTmeq4wFIWyvW6LLWj5oINkFyyig/Mkv
D5lMpJsV7c50bI+1GXmGYG6PpGydCCB/pa55upwOs698suvwMg0Mp8I2hpTObKOSzUxxzOnAzolk
1nyQ5NQoWGIeE+TpGD9oW+n1vAmmlBzgMnxpsr52p1IzvVybtsT8HVKs3lu0bFd5Sa760KahxxbM
FhIaa73+ihFR3VmJ5axREuILN9EmSu0rE3KGr45zXS0GyTmC/NXL6oNd28pJcdId0XxQx5ud00Pn
MPrCjdtSumYAN4UggulpyueDHRhfJHaZdYzxjkn+/EhZdTAD42lU50sFPKuvtceh9OHgtuFXIqqn
DVm8RGY1UDEk1NKGAWZtaA0S/uF1tNnJYeuz4ZbBJhbdC2gQlmhT38g+eZkoVIsVYl6C2sgK+NzT
IzthiGKpzxirbVuQkshXTDQw3L+1y6YlMMU3Iya9fVbjdW2/KSsyVgOPvi56i2qRXiTLJz7nzIQi
n1xSlpON802u4S/KDU5X4W5CzDHzMsBiRd+RKPZwKZdygBPcQddj3cVsutIXXci8KETigIqQYUGx
1nnaYAAvUpJEm9S1sehLoOahNKnQb9iL+kQuOpQiilowlARKqH2/GdrsBQ/kddWTds0iddY7NJ4S
YcvUyMBr0viqskpajNoDvrLprtaU5BHSCfiWigQuJpCetmhm7JYHsrb0ZJ0zjO8NlD3jorHRcYmt
kH7z3AhHoa+MFkcbuv4qM4z1uOh0oMCcE4Q7yaLg6RYtT5cCwhNR87lG5qPpMDl6hD/skjqgTvug
oGM/aIs6qPimEwJM+SQW7ZCZAxbrFj2RsZwf80VjFCGdBpeM7mhuZ/Wl0sSnOMt8FJL8f4dFp0Rg
A6tSkprbIlv0TEqsYpaogPMvGicMTRl+aP9I3M02HYariDcKF2l3gPByCQfuWlXMjRYUR8RSWxzR
7bpwGFjHc43HyrHdMZRofe2ObwiCTonfqo3DaZPl2SU0I4OYTknYgW0e7QB8/1Cq28hMHtW+3nZK
czcnhCkhjKdCJrc5pyhvupoUIwTfbiRr7L3lzuoaBmt+CM+36DzC+3hh4fSJsz1mH5hLpifCX27w
BTPwN4iRywpUiAH1J564BzoCm8Eoj3BsXsdCIKstskObDLiptHErLePu3wrh9wqBLfU/Vwjn5y+v
P7JoLFmvf9QItLBQDmLCgK5LVLTJEfjPGkH9DdAI9lVYZhzBloHgHz0sYPQSO5UN8oT+Jofnvw7O
4LKW2gAqEkQt3op/VCMALnhfI9j0NiHmEmANj85+P5VUVLr1CHIDNDvZRk7kCLXNgvKZ6isi4x/K
RMGv3TreHE0HiVtwm2fBGfTRjqSWV0PpYV87tEZR57uoz48jjJPVTHJZzkTD04heyiPC3FtSzWDQ
pvfErHIojhxnTXX+onWkPbV2d9V2BO9o/aOVoh6Jk7VJLiVW9/DJcjg+90NwX3Mg2eV+cgyywXel
v8S2tFqx6broqmAuDYlAPKLmzb0qMhZ2gdF4g2IhEmn9r/3QvOLastDJgc6yC8wMWU0Jn4TYQvJn
6Fv3CqoYjtZB7zLfn9eJgsXBUgiOt0I+AQQjCHOLz5wVXkJZw2RCnlMP3GJXN8m6KbUbJdW9GO0F
jvAjwVY0rGpT9ZpIAHNiVpXr4yqK0tYdbLJVUiQ8W4xVPQOs4cVvYnyt2oKOD20sFqFJM06NPyAb
uqERx8FKBfXS6Kk8QbW9azLfyzLt0uRDvYlTAx+KMx/D1DmE7Xgsi1B15RACQG77faCVix6N1Yqm
WbEqOlPZKFFjew5ZoR+bpEAcDUkBIKqMKRBa/cBsPN5ABfiiAIo4BH2I1DSHcNVksb3VyY/jgKif
rErbV4Zdsmj5/mVSFmpa1TobFHjqykkzhEVKZLk5aaSXwsKasfBQI7kp4uppwn22bQIdFk0ZZpsk
YJ5blsZG0tLDL9dPOyv3N21QAYGVOSaKIHtpnTBzNSmX2HojW6f5OHpj5j+lEidCwGw4SsrJ45dO
Hl5kcpHy0VPnfh35Go4gZuEHIarbxIdiIykyPdpBPJAdzVu1MfRdLabMDbr5patVzCdN5wA4MzgE
Jjmsc7+QSCpE782TfaYMcTx7tF7rkmDP2tGu8gFPgd7yKANRG72gj1LOk6RXaYp1l4f6Uy8TwkUJ
wl0hzkx3bTMiwAqGO2WiqQPx/wVNR74aMvrAVNJUF13PY+zIG1+lrKuM1NgpmfnoxOIzAsutRMCy
FmNzVjKFSFjFhiU75Mhqq8/k6k58+RLRWN441oWKsiXLZaaVTt/AjKP1WE/ZSh9e8RU9jAiCN6gF
CzftOO5PdFEmvdVv5JA9DjmSQxTCGodqoldxB98js2ldy2fLGknfswcnAYLfTm6SFKD1OuQgKR3r
CFGSj02GHlhgHcFuw8+wQ1xBZv5hLvzr2sL6MzqN1xX516it4BKH+1zYx94G7tPGx5nYRZFkh1AJ
z2pMlVtMMZrbtDP2WW3cwl3oPY3fu6kI7rP1ZKCNUO0BH4u1lfCHO8GuGYyjqqhfrVZuGvS4LE2k
5pBBcCiU6VmgE11VWkvXi3w9KMi9dYjmdmOPweh3LnaJ9iEPqr7YjGFpzNCiwd/r0D7ui3EcHkdf
lPgO1KavdzpwsqcgKcxD25RpcEM4cGDv6UQaT35gCf8cIxbaZk7Sep3jP2ihYa3NkRAuiEDp2l+g
ewbBUIQ0U0YMPHdrc4Hz8RQ+dka3m+FAAf63duEC8pML0m+gU7hyoPzZ80wnBWAckM3Z5XB3k1pB
8rFb4IBZGbE8JQh2O8iBQS0vNYa3nTKQjozldQeKPHVlKW91p/2STf19tYAIeYu3NmTC2ekgU6nz
jUOKY5dMpluW6rM2so4TVQiLILvVBg38Wus3i2cm4llbKIiqcCcaSPCOUE3luJeSfV4I2qt6/iyL
PlzrAumTtKJTlMSfhT2wGoyfRyk2eTWVq9k2UdUZvIcpKXdSST6o4ynvCy9LdkvOZj5jMoq2Sm8D
jjFJdJvir5YeAhlt94Q0QTZOo7VGeU5LFUN52ldU0dlAZrQ+eqHP6ldnWbDJ9dLGr0d7MhYRJluM
uJNBamWvam42FMNKWNVtFJuOl9by5MPmKxo1coEgoGrgTFKF4soItQzlpbIxa7IUEFXfJwB3iqy6
UqwlKku1HmK7f4nJVN8ikT0O5Vis+rFFdDc/kEi5asvoejKLzBWtdSh9+l5dXG4iZ5EC2k+qbkdb
XQX4ZCkFgQuctXO8+y5x1yjX0ZiZ8k46GI6wJb1avVNvhpnFVsf6FGdYaThUWvwfR4Kc6oPRoiLu
IqRgUS330PNZnznNJv28SpToDs0sslQUfRX/G1iYvlDuE52vWrWrdd0VLctNv8m04DV2nJ1J+nqh
8K9+aX8ln/BL2WjHTITbf+vJ3+tJZvv/uZ48Fc1//W8evKavP5qL8qN/FpU49Ok40Z8RzMPes08Q
raBjY76+DGPEX0Wlgb0FyR5gYB6gb92lP6cx4pt532J0ggUA8cs/SjhaZi3fz2IkVn8GMqpOCUur
5f0sJrYl57Dcia+6bD2bkpT5rVE9fPfB3Pz+2/4r78jwgdLW/M9/A5H+wVUg9JlsXQYiN5OP5/uJ
T+XTrzJnM75qizhKvcJWc17Qmm3X10WyjnWUogWH/pMMbFJSCJt309k/9vRlbtUyvKQR6edmGJ0G
VaWppCmmq9kE+KZapLpqEO4HwLBdj3OvJxis007qPFyaSZyruTiO+AngDhzUOJlWWU9yY6xWDvVz
Su5CZ0J6Es4XbQSRz5bEP7ZQltK0+4oXssZ1almLN6RzaJ7z86MkgWcaWecPgzJnW38YMSIolAux
I0CfdDMIrKTN4Q4K497XHQmBy9SfREbot8LhYhupSWitw64qU+TOVfJAJhHUcTtRp13gMA3Ya3qO
sLzX7StraibOgF0CN9Syw3AF8Em372dRWeRNiHRbK7NlbrVigNDuAnVVZeV2ZtZO/oqGtXJtV0I5
8/tLilv8lgu2vlh2Do6hntXRrIGSknrMWyI670Zy6ICQ2Ddcr9GfzCmQzVFMBcs64RBEq9bmeBNq
yCqqYHKOTm3JA9EGwSOUSOOhlyFsh3QCc9fm7P8AfJnl4Pwc5p0d9rS71KFxPhYF3koLssFa6VTD
E+WIVr2jMKiCYGLgYvZXTtcRHMtnfoL01Tw3dCDHqQ/42PHlOFW0V8gYWEtNZX6e9sPt3NMMUIkh
cgrNuQXMoq044UeePZGQW5RkHY2J4fWFBnUierAzsz/x1fWeVXF4wGMq6FDS8BjTMTpYcxeuJb2U
bdumGtgpXOPkibIzMpXZWnq/G4ycRIVRNJeA7gd2p+zMoOLc102+4aByMQpzb4dd7PlWuuONSbxA
V28aZ7hrNdl/hLNvfyXcg6Zp4lnDaH0tos4zs8ZL/Er7oCrdhtJtA5E2WTtEFiY2rYyRlk5jlV+a
pn3No/p1iqd7xvRerfcHZ8w2LCBAKeetMarnye49SoUd89fTTHZFUPefVbOjt6ls0kGjT1it6m56
yUlTCooXX+00b7BSfTtKQuATs380rehzOlvGmuzK5kBbCxvQMJ9EJvZ6IM5W2eEcSx5Lvj58omz2
tlz7vbUJhL3r1Jmiq1kHmS+oS6qV7gdY8ptc3cd43jxtoksi5Q33eGt24CjHaA5oYvqNa/RqdKbo
SgAGiUub5s15qNpjIEYe5lbbptVI+JTPscLOpqPDS6QWEuld7Y22fbJLHW988aDMwJXZczsRXPKq
PEFOcnvhnLKuv4QOLVRRroVPcR0E40pMCTOcEKlqVzMNDWr1KlGSJzw2TyVVLQxCnNX2Ie60C455
PO4ki6TpmVLQrdJqOs5S7kqFBrPNwaBK5K5zTA/FY7QKqQyneSCIGrdKNef5obULyjesxgpIZm8K
0twzRz3ZVk659RviIuYJItzPV94f8FHRR6vIocgNUhcM4rL+fzdrDyeNo4yVcu6uErGG7TYR5DAl
nEn79NRmGO1k72+CIszgxc6vWlk1l6pK1A8282/it8bbro5P6uh7iSMf1LHdVqH1NSc2jWMg098g
9pmMTuqmmBfXjR+5hW827oA7ZGVU8K2k3e76ovhcy7lzgUPfC04Aa4ALOgnJRJmkucsIuhn3WknA
WOvnuDfqrTD6m1QQZZ7JL1Oa3RGic+hoKMxNesCYc5JlcbIb4WzbYSoY/kY7MaIFbnokwL5SbEIj
3gY0UbxGbW6NqSPgM7QOaujwXkNpIVCHGWZcjx/jqDdoJdAXF5O4NiKcIJVlQWmNknNfEuPexHsC
t7YmJgovSiuqV8aomASo3OxgAwhpbQbliWNvT1KtuI7S4Zh2GcJAQa5OWczsaw21c32dxOktUQlL
wlyfelauRK5eqhy/6ptIb3ovI19zVYOFMCYDSOoYPTsqBrSeh2nkAbWZDCRJ9SWp1K1WYrEztEcy
P71Mt4BZGLuBdUhvii+FI09qpfZgVpUvvmaB1RBLgC++wQR65F4pl7WsPUXS+iTUdKOqFKo2PeUp
E5obN1MC5Sy41mdT8/IQaINRxjZT5Li7L3R9OKIMqukpDdn+548qSq/3hQiIOKRgmHl123gv46Vb
O0A1y6Irv4s8PT7QQ/qFRPCtBIxfqUtCIRkOmTRsbPu9LVe3wAHbThBcpRbmO+uaA8ouKm/rAR9Y
DcndwrYfr39+V8wK39zX36+63Pd3L2BXJm1p6IpyVqf8zqT7yHkmv2NX/BQgzlihkI6JjTYfLF/f
98zoXY4eMW/FULgqebRuXs+fCkWeyCBUXagCm9QZtM92aEgPbfBHy84GAoyno0yNR8tPxoOW6haK
lDkv1t0s87UNCdLTSlJVSFKe9t0o9c9FHrcbpnv6Ooqil5RndV2pVuixAk/0+DDT9Z1z1xnpzASE
c2rQi30WEM01tV/olu/YlD40db2xmgEBNCF3OlgAJnBUKOmQ5yQUd6pLcibN9QHnoYzGWxHm8IUj
tCB6YK1Mhxydpv9aNZg6mzLa14ayY172YZyJ+FGTg9kWTJISirXI1yGwtRHc087cJ3N8ZGTm5ZMv
PD2lgaX7Caus+tAvnYIozs52OG7zelj3/swTDNG8DTKanqVXxFiqyzm2vTr1z2Vlk4Eod1phza4d
jHfwnijgSuVD1yYMDPRWdWfZbpVyMUJ1xbMVVOdazS4VGCoAau2q0Q44yNC1m/pOMnXxSk37mE/h
bvTpePV1d1Va7JFxae7r2njF8NW5Pm6yyjS2QWmc5JC6v3jcfvWML4X4d0/bYFBiiJmnLT7lN8GV
sqmO1T3I1r25s042W4/7IoYV05tz/jQcf35xgEPfv8J/POqoGBGAisXX9PbicKjsPCFW+QyrdJWf
hFtu0GFrR+VBbhBQfLxW3NNDv46ZLz/zX+nVdFJXh2jjX+lYv37x17w92Pz+x+h083E+WRyj3lus
JnWgu6AtWFj1ptQhpqoPdb/7+R2/XbP+fo2lX//dp00SRaeEIeiVonoN6p0zXX7++394D/gMkMca
3xBPb39/Nloz00mcoIVyU+EKrk1qzt9XqH8FzQvA6j8f38/PJNv9QDHCD/1xcIfKhWCZoztPz+LK
4p/+nAahGBHQQi2ME4gmlySlP6ZB9m+6UNGRIM1z/k9n8odiRP62hCriEdbZgQwOw/9EMYL8483r
tsgooVOj5BSIrqFUL9zr758+8BOmZSnqfK1n4X0FrRf54wQMq6xY7+dsY1cWTs5ib04Km4pzT0wV
I+eOLDRyzD/EtnHWi3afxfGayC2/8aTMmJNHVMMfUyJx14VQL4GSY6qhjwm0OY2Vz4LhpACxo/fh
UQKyGsm4U33oMTLeNS1VdYYE7KIyePaKzrobkmVt7ScyjeGejrnulSH549VYfJgm5b4w8486E42V
KmipqjXjAWW6DiP7QDwJYSHNSz3rkFkIjAhirO2xuKGrdy/6JvfClsaY3y5VWk3Iop9/neCFrUKh
bXyDwbmo2d0gzFy3tfZM6Onomb3eeRDov1RDNgMP4MjhjPY6UDHbMojRNgkkWuRfijHthxG2FCP6
o9bJaz2hKaeFx5m8CmiGEolByJkGDWXdlw+h6jwqhgQ9keqXBNFka5KDFsHZrOP5Y1sPm77TyiuN
UN6sLL4KVWNriG6dbhko6YT9Btley6b7pOmOStF/VWsmSqoyoWHT9Q6VAfNnRUnalQ4qqmoUQv5C
y1WmQni+YEcxWXavxQQcaqabgP0XlkFYDG7r1DFbHofkTJ2UtZ0ks5uPQBzwzryEU3DIsZJvWz9G
WgdHgdBmGo76ruvqaz8Fra9TCwCWrStcFBYCuS18BOaBKB/3Ot72pjHPhLgwnyjIhAnzfmNgSU7I
NEtSvF6L+C/Ox+fAQljL73QLACFeQejgQKg8lEblWYV65tZ9S2s04TCALoiYBftMmwztpNp0G9GF
1ikddGSaeX1Hco1xJdqMOb8I6AZIJ/bmutuF/TgTBpgadJGlZzNs21JbtxsM1tZVR+NIKsZeqZp7
Gmo7tRP3Qw/TKAgb1WsbobH3iPhUYiGmYobQGJqE3fh9jDV6jA3CWxR/O+GxvSpHXVyIvWS8lPRb
xyipV4JDlqAcHSvxzDZkoiiZomt8VoOLB28z2fDiWngMcNdT1xzyz+Rsb0QffSoCVJgOQX9ByPcZ
p1N6jbltFY3Z9rtF7Qett3c7CCga4poWkifG0gX5ydj6+zWi1Mc+SQlSvk6zj4nxBSP6Lwv3H1wC
8xjeDpU1klzXdyXHVAZjE0eWcZ00n7vkZio/5M7p2138u0ctp4Wf71Fl0Tz/fZtafu6PbQrRgr4I
FBHms1tBsv5um1J/I3dN/337wkP41y4lf8MIowGjxDMlvvWQ/2wvy99QKrCl0ac1DLkoHf6JrnHp
Yb8513EFtjwdUQV8suUJefsEoqFNhJxFeJ2pqHjOoWjNp1FTQ3tv1nke3BQMug5zV1lPVmgMFFFK
jnRtGLHjwzZp7p3QKO4cJzJnN9a7odjouWwfGr0jPGEhgiHKBftjRMr9KFh8xmA23FRAexOjdWPD
Pe4C7brriZ5Lp+chmJ9F6Bu8abdWY2draMlbkYIhFBNjdy2x1mNP6q9SHzgNwKJrkIXRQGvcQJ2e
k6rm+IJmaUVzCQy99v/YO5MtSY2sW7/KXXdOLQwMAwZ34njfhEff5IQVmRlJ3/c8/f1IqaRUSqV/
6R/XrFRShAcOmB07Z+9v55IeD/lGQHC3ad6PKy1HuW517kEGeKz7gQjUTN2D/rjPIiXWiUk3wx9v
Zuhma7dnX8qrh9I0PkFXNFcFAKJtnsfdChDSvCP2PPPovdLRkNZ9rOxz7zSvRkboi8rTM+GmxCUk
THt9w1nLxoYrXgf1KhtKxyvn5B7vw1Ml5/Ji1j1YjJxZW70oDwlUa1aDXMRqKbrA1qQBO+ZBes4L
RgB2+Qp/tvcaoZfrTq8/5qaekIYtOexNt0+beAdKaC8Ykpa2HTOHdD0pAcihgdkygULQR8w4f5QY
vABo0z7K+V+yHyFfuMVzHiZfmYbdOZIA3jL9IpLwURUtje02lmff8g+I6u6iEn1Hb9mhh7DVXwUg
rIPFa1Sk8j5U6lHW5L9wdvuqivw005ouJ4fWoO7Qi8xtOCZ9ESOwH0857K0WA8JKFvkujTQ6frIj
gU30CN3y51g1dGIwI24ZmG5U2T6QITB42kAVEOrOVlZ2f9MtWgx7aiBv1fLQJip7poU8ruuku5t7
9jLLDG9yIDSrStORlUzdUz3Fn32U7nsVolQnwWtr184LGLNX2w88g4IkzXANj8ufoff32uRsK3++
pknESN7Yuv4tD2txI/vunLrJ7TypT5Fi/J8TkLqtAYCuJFNqwMDTqVU8dsKKz4WBxWLBlIaa86LZ
CGFIoI48EY++p9VLgG5yY5XZ1XTrE9F+t32DFKFdFJ+BLbdQ8D5JcFWhZTxlbRqsVAGlqFfXKSIt
BOXfSXNpE/YVxaPfPCKN/Ky08VKr7gOIzGPT2gfsvee4TzAJhDa2stRtSKbjPvhx9jUVYLnggWKz
G1MUcrm6cvFLBkP4WtVIlIWeXQ1f3HI03lZu8lnTfM9ZginsECFdZma3S0wmk1XKzqzNX0LFcYht
01hpep6eNKJNPSskhM5H4O0B1HwffD/ZtFN6Jxr/NdWKyYOlCzCIVpnrzOc0by+dACzUybdBZe9U
k+B0+NDBuIvLaJ367iEs22uT6jtpyr1ZkrZEyvilo7Zf5dLJt1OS481Z+PoYASYrPLodQXbREmnX
fE+3G3uC7qY573FoEH7nuhVdefLwuiUYL/iekVctcXlVqrdAvvjrgyVMr1xi9Uby9Tj7iZuQF8vj
nlvXfInhs5ZAPqQS48u8hPTVS1wfARvWruUr2AxLmJ9YYv3K7wl/wfe0v34J/mu/ZwDShUmB5xAM
qMXgW/+7TX+fBFscvf7zNv3YFXR0848/b9PLz/2wTWO7g1SAOdaiJ8+/+u00qf9LcRpcvK7L/v1D
FJHpLEFqiyfAgDyBP48t/PfT5M8pnf9gn/6FJvD7IJj+CJWiDiZeLByFxQL4x31a9BYIwiLLrjNP
sskTjRAc1TPP+JwTtt4vj33M8w9gPNmCTKGUFruINyTstANnw7XLm5MLzet4k4amfE94s8D5eKis
L+MszgFv3hwqpL7LyxjawVvD29kvr6nifcV9oTz5/RVeXuZZDCmGPV7wNAkbJj689AVvf/fLMgDd
dVkY3GWJmG3Nq1kzUABuTdaQcCyu5bKolG78OizLTMF641hVtzY6ZgzJshh1qmD3YHmyxhBZzrJk
RcviZU3OuWU1M1nVzGn8mOR8gav4OWXVGyYmocgGdwXrobI4mhaskBYrZbosmW5oPdHoXc9F+2kI
1RbNUQ9eSAOr4Tq3knU3zeBgsw7HAyYmTfiMalmiYzvVVqLWXtxl+S6wcems59jSyGhghTeXpR5q
FL72Zfln5QNuF7ufRju7tdghJMGjN2V1B2V6m7GDTLa42pa77czxfmKHGeM4WpnsOaZAsZxqr730
XxR7kuq6buUu2xQG588R+1a5bGDZspWJMb6Zls2tYpdj+jOum2Xjq+SBkTQ7ITqVAhU822PAPukv
G2a2bJ1T14O8YyaybKoo99N1yz7b8Wf4FcqnZNmC5VDsrIgJRe2AstMnqM/chzgmwTletvBi2cwn
dvXIKU7D4H+VFbpIqPePslD3GpWwp7Xq7C6lQbcUCeFSLkR1eK9RPyCplmdrKSnGKn50/Bx1PaIn
PwPUmnzlIPkcuHq3wupDgcJF7culVHE13yGFZAw8mzrGXAqayPa9tIiSbcl8dqbmseZkp0sofoaZ
bvIOGKDRdB+OZZVruZRMOrVTQQ3lijI9hxbfdrUUWN/DK/NRNCtUDpSIODJWM8GkK1IdygvQ2qeK
as0vO8eTOjUnAll4vYw011mXd6uUOk8vyBAhfGXbUQFGVIJIle9RW0WevRSJmqBczJbCMV9KSHcC
mon171NJdelQZZoWbp7Jmm/0zv/q9xouFSpSt3TuOyrUwYR+K3z/YGN2oJjBMIpZfzsuhW29lLhG
kJCcvpS98VIAa/P0Dp6d3X0pjlO+0VVLvdz22ppgA1IclkJ6KanJD4aWZGSbCboVW/xSd/cU4EQi
vLdLQT72j0kK9Hd0bpOlYqc6l96wVPEm5TxBJ/mqpcAnPmIbftf9RRXotUUL2Fk0AAjpeue+Tkfs
GZsCUeoqQVOzNjT5sQguU127jBjeNxGsxg3iyndw3/upbC2vUMCidRvLIcFR9mqqC6iQFeozm6lL
1TBr9o0A5oqp+Ht6BrUD2ucV//83Ix0n9voUc5GMqGZS7b7q9I8m45GQKouOhW0/lXV10xC2jWdD
fiDHu9rasIVOplaaQZsiH1DRKfivqHrrsy/03Ug9sc74xk9VzkVj+oLD3uZvMkuLbaGxBuN7wtnS
15KiJ9j7hMrsUXW8Vyoqdi5Lo0xIdzQ7elahvMxtSN2CZJf+pLMmmehhiDNaaLK4rRodrbN8LGfW
ykI8iKAyvILzyIpZ+jtcx2OpwqPBxa2HSKe21bsnDRKNx8S82qSYf2hC81DT9Xjr1fxWt9V92Mhg
HwBDQQ7RkXpMVq9su4fSQXdXJ9xfU6M0NYnjHWyogEFWf17mbROrfBG6Vxa6XVABgTRk8zj5w3Ni
tC915YCUT7oX6eKaFQbDd103aME1cb+OHEa9RDhm1PiEnJFlcaib+CEHTzmXXbH2E5xICWIBF7Ou
lbqx57iJsTJLhebIeO7V3dBg0nodopMMzbs8rpDbwirTAByYGbeGLEqVFzcGh3NgT6LZ67H6ECz0
GzG6t32keLXpC8ENndKVreZok9oRrnQp14U7nFGX3veusbdHQqXHaNrMk1hOFqewwK0SBd0LApN4
pVftsWpvejVRqqMnD+zgVk4mtWfhRjujqmOCqKMXYlF2+E8Y6Ggs/7NWX9zJ1lBUdsmWkM94NTP0
ZIbmcLf8bDOUwRF/mkZLzAmx+hSBW62mDicw6ogPJ8rCy5C3THUh5ln2S1xkw65uo4UKXs3TjQjR
T4YN9xm/stoHDiblCMQi69fRb2f3Ksy6uOqzhgu5aeUB1c9NWoeO897JadrNI7ERYYkckc0DaXoV
bDNLXAxGYKxGR4U+gAmRgUdMm9daLc3nyC5ZIfoK1XCj7cNK3kjZBHsGdx/mpH+Ahf/MloMkORzh
bGrrzLHXRqJz6fyNjSmKdTKmXxjX54B6ESPrsYGKAIxyHqjXcMzINxYM6Ycq3FSiKQAnz1vVM3x3
bHUK+LLLz61+FNJfBOd7TRuMG7SXV7Pk3BSh5vSSVH/i62cXF+kHwPVjT/7ztqzGu7oBZejgjyZQ
LN/mI0HNgCBLZALM7Mnbes3bsfbG9MGS01ql1lPmVrdTFYNwnpPDICHcRqD6eU/IURi3oi0f7UJ+
YXG9bd0h99KQR4Cx9L3QanRMpcAFynnSFTD+l8m8PYt9rlo0UXF2tZHToY4Ju03kJtOmHluehyFI
18iRQ4xhzSYbEbyVSjYYnI33uQGcgJ9qZ0cxi7OjbihyX/FHnkc7tQGBaBsR0d4fnDe2li0k33t0
3Cfe3D1NI31VDeFTCbbeQ9B3wfv56CTijKvuBJnvBVbwK2kh7BG5/dIY46UYAdgToKURAS3IDrGC
52zSc1T36WGOjrWsL2MQbMvBIOQ9cjBmlezRmnqiS36ZSWHXczRJ0jpWiUi57WhfR6fbT/XUbvJR
XTJkxJ7KWAi1cKdbkcJbLfdJYZwHfT51tWky6yVkQs2ofYcsuzVJClsHraMhbaqNdR+CgmTmvWRp
MKK3MoJ6ywYhujPX+0ZytsYn/tkmPctzxu7WLoHKu/RVdoHbNOesqifm2ig/lt4Hzv5dkvrazs2G
mJrTb3m5rJSs7UfVakcV2dlOhcUB5yFzz7Q0Y7wuPfG//z2O/WLrNv72OHZB4/Llz2ex5Yd+OIst
kVSwTqSlw4n/8SwGO8WyUeoaTFx/ARL9OtmTguxXG2EK6TjQhJZu6q9HMf4NLVO0OyaMkeVo948G
e3I5af1+EmOuJ3GlEpYohMHv+kVM+8NUuSoqZOBhHN5WHZDlfZUMyMQt+yqMKOSAEGhLNBSwn4Gz
VFfOOnCByJY+cfBjW28dPRPtw6BE4H4bnGZfa7npv6Nmi/XNQKSzdjKwW/lHAcebOCy0Auw6Sc6+
gHklJIVCdMbI2H625jTy0sYlswZlk21i+poUphKaHC7s6HrqyFSI64isURu/BYF9JP+szBGV6L4K
anbdPGsQbVRDWl8DLCFQLU3qrU1Aci3mGUdh+mlJb7WYhPwy9vjvwEAywPnPnYiHIn3/q+CE5af+
/ewDB+LpFXQbAFoCNeDp+60PYfxL6goPIxDKX42Mv0+1l//UWobeSMW/D7z/3Ydw/sUDb+uoC6UB
Q1D+o8A44TCu+OPTj5lyAYLx5IMusvWfJlbSyahPO2O6Om1Q3xLKlN1HorRf6f0aRxgjCNUETiGn
7fUL6Ss+CSR9iMuin59td2gfQr1Id/MsiPHFeQPBpsW1y0O6QX5zk6ahe+lN4Z8tC/ewid9w1eNl
kutubh30pOW41xz3OBozHr42pF9HtNyXCG/XLs4Hf3H90zcvm/FTFobBsagosSQiwLWR64tjzCkp
AaZn16ggyRAV7Gf2sSMal7RibTjlCST5GrE2gC/XpzLQr4nZFRCFEnD7irlHSICkqSCHFC5D1hWo
L7Z3J44/ykkM8q7NszXn6OCbHZdv4Rj4hFz1Hna6Y1zMrjfGeXIwZpfhL5Od20AEr3oyHaPOrLey
zO+sotI3kd5qu1YF83EOOvMYhrq9SQmoolHRHFCZuWtkXJIdLJeb3jD8vRK9s4qsIDlWGQQcv+jv
5ppEzTKFrgJ+Yl5plkWEkkNxFbg3sUkGcj/x7WioY+6jAS1AFglxbUiqAJg2lPDwm2NnxJ+q0h5X
WUp+g+GoeCM4foQ4CVvP77lh2iBq0DPUer4S+1hqq0mrA2+0SERoExjgc1e+90UQX8ZWfmhJoa+h
sxaUtZx6WOk8RKoPyiShxcajn4zjzujTZyMeWvcsXZjYtZFe+0rcFobzrAeN7aUm2TIEdo0MqVZ2
ZW38ks/BAMA23cvgwswbfnmenag7PyxrifNUw0MfIs9vyIP3Ep3jcpZx4AvcfZ4Vu960zvHoXkow
7yELKzkxAQN4X91OPhyhILpmMzAABcjflXgPZmu6WIj1cfI+YaMgiHuUJ+VjS587/1Nm1J/NQVT4
QZ0vo00kgjU90S2n1eFz+i3KBkNwjjvypkqICFrOr90XQmxrD2VwHUJ0Gs/UlSVvRRYlZ6Eqqslu
Sotj6QJ4s0U9ngNoI4f/toW/t4WXbux/XowvRQ6p7WP6i1KEn/ttOdb/hbIHYikEVlZXVs/fl2MK
DrLhWQKVsvTvK/W/l2P1L5dmMiulKX8sREyL8E4C5aHZUIN/J7/9g54wiJuf12I2CpNCxDEXdA4V
zh97wllJAvC0HA0yc+63BGhyvtXtNxukX2F3L/jhnpL5zgf4hyNtYwAA7NrgyV+IgNMyryuBBFbA
AhkMAQ40h+QpW0iCHCHj3QRcULVQKlBREOgU7/WAHGWO70Tj1GBTFjahoYtP2kIrFAu30FwIhoCi
fEzXMd5KuB9+UB/zATB3bIYvGWkFhGa9zSQapKVTc96o3qc4uXND871W4nXsJ8Mj1eLC0bGggZAw
a6liWsrooqys6F8m3fkUYfc7ESTmb8QAP0Uv46ekSz/pkz0feEUPfoO8XDnzfq6MT32T3bg5kBZl
P7j1Lpn1TeUiXLXi4akLozcn0vaDXrw0tRYcbaNcuwRvZXlPYjKK+XQikDC6WSaS1VQvVvvwa0FH
PWhzfLhquHGX4VsRGQdZbMn6WYUTcRjGQ4AOlRNom7xVRlit+BN3TTMzTRP9OpWgL1redlY/gzwC
6a8Kq2n2PTmGnj/Ah/O1s8qKYV+0HMn8qNsMRXxPIPoZ1+m8lVjovT5N91WRfq2h5a9bo2GoWOu7
moOkR8f5dnJcOiJ0h3S/z3dhTu5HRDROmvN5oOwaKwCNY9ef9XkCWKYDmnbmdQHnf1S+uxi5z4jp
r2np3mSlXKvYYu2a4vMQLJupvbatmXVMkiKS6jih82UmEJAM4qmhh46RoI5P7abxwKhkIDhIMJsi
l8iZDBNsa79bpXbAz95uu4bQDoRUHPmnu8FWjWcLhumVCV4mrjxZxfe5yOJ1yJ3TSvPJwk9aZWQ5
67ZyzpUmDqlTXMp4/ITO7Tlsms9IhhHzDJO/npXCoB93Mds9ba4kbg/91BbrHj9XF1Glz2RtLrC8
O7+Rppf0456yvNjWAeZx5rnDKikOphHFdP8Jc0HUxPn+KlmkE7qmlkiJM6ElhmqbEJLUfIjn/BNm
t1MrhksxG/2K0KMjDZizDvnJyLDypHp5cHrnc0y4tRsGAAuABCp02kMTPZSd9gSH/6DnxbFDilwo
dUiAzjA8/ZQ36ZNKKr7UmXRJsz5RkVy6HsEZYR53KQ2U0Y+YMihMvcO+dIuDWIjHk6TKD4+BJMul
nsxTifFhaPRbPZTptpvrtR+0r4NNF7SR8zaq2yvQvoxN2z7WrnFvReUpifq9TKaOK8y6Q9zjv9Dr
S1DapLT0JDiB8SET6qEpmpcgr07+GF+6UK7DYLrP9ZSBPy99koZbZg0vQWLvrKDYZypyDtjXd6of
FkBLezFzd2n2mHeSUBmmc3eZ1qMp0KnQuvoAWehVHxFiO3qarl2jux9C69zV9Jcx90AgnLNXTjx7
u+u9ciLJEIAeoZL5xUzVp9lxd4M2bOjWbNOof8uRozWW/m1uArqBEds9s+dIx4lFr0bLs3sjwoJP
jnZqbJ3CYu0bTfMIIwEbmkpPbsA0x00O0F9b4EjuKQzDq+zTkx9MNN+L4DL48BQiN//cRy1q7jq9
0XR3VxXuTY0lh+H1uM0qXWwiSzxHojuP+PLMREN8GD/Myy1EK/S5BBlUNAEO7wG8nfYy6v2VA8ON
nmC9VvYSkzm8G3R9AVcGgKOqcl213ItaWNu8C6Jd5WSfStO8TG7GJCiq6bPEOwI1h3WjxDPnjmPV
9KswhLHQaHe0S4kQlI92QGsqmj/Hqf0wW21wzq2qhCjo35dZftEWGalf0UWfrU+iVDsS5lfSZDgV
tzjRhno09snIMMIIPpIJhwSAfB2G5XRG5WRshSitrR6ZO6o2JoxpWKL/oautAn3fZN1rM0QPVT6f
py549OtmTy81wFbjPOdDtOOaH4FuvbRV2B9GeZuQnRnrvWfES2s2G3eWLK5DGzxG+tysHdXvNYwR
7ezQdlZ3cyr2deDy1YirVtX5KiSJp++MB+C8HCkEvF+npifeC0hSpro0Kfv9Jm2YBWy6oYqerSxq
WfxJGTRy8lkzJ+23YaVWWUUqWOT0vJ3zuSL+baVqLmmayn09ghwMcvcWJYpDclWfb2YtwsPUV/SR
eyQhfZd97sEWSEXzjh2GcDBUXwRIp97I2IYB2d4nyXE9pugvi97tj8AcMyQs07e8bg4Wb/EqmbCj
mHEtVop51MZK0xfKbYNDkKpJ8EECIcLG1lZZrHBEZMF5oIV5zaE1vMbCZgJHx01jZjVYd80AQ4wW
GECqIZXwZXrU+ZtymClxhXYmV+6I0enWcJKtHOONbQA2rfz7oKpPXWUg9jRzkI4wnHJRvfoDCEaC
ZTa1aPASJOOuk0yRzbb93MedJxLnTfrmpR8IOUPKgfNv2/oWuRrNY4ndCSZa+M7K+gzbeE8q31W3
xg8/Nk+wGSC+hWTgRGbhNRok6Nk62VF2wb9sesrOmP4SrlOSDNSxRdMCIZjpe3qxxbCiuG+bhK5s
Nh/KQJ2tMdrDNl0FSXnIXEwXhZ6sIxstsYrNO3fIHlqk2H0x4eHK88cc44yXaclJj4aDzuzKlcKj
FNoZY3VofZck8fAQ2NUJ8AvjW/OU5uJYm+y0poNJtPzixzOHsOBu9KkUJoKaZj/c1MxqrKr9yEL3
rOW51/DQjZiAOzf9okwdV6mbHwo9uq8N0sSNyHNlPK3MDIrFqD80CcPrNofDi+MZ5AiZyswX/R7x
2iIb7qD3trHYZ53xCnufWaAYtxYYOxMFCqVFtcIYy/AhTV5Ts/MAQYDXqo2Nm9Bf6oIUL1r87Lr+
znTmW73HPp204nEaxNaMy5cCSPHazOhza3301a+LnvPt0G3a0LwZLP3GD0zYc63awHnfSN/exW50
cCPd3QYB1vFk5sxs3bSl4IoHwuWUwcMSFIMF1ceG0QlYb+NPyrkWojjmstvg9FTIyvW7VGrntEVV
rAXmtmlI6POtEPVcQ1pPOKk3ayAGz2WlIdRoPI80otcaSNGRpPlSU2+GEfsMjatXHXfQSlfdNmn6
lAQirtrxxd5dlp5qgbQVbrgPaiCnVplcSkLrkkCbr5pRn0oGc2tDwYGt6uwbOqKGErFCb8Q/TSDB
RV89BNFY7tI5OzBPZD7Sdth9l13bkq8jbYtlmB6s65FgsWqSNyKJbtCAeTKW4cEO5+YMq2+RHJsv
BD0Gx6H279wmfSOAUO6X1x2vMx79nN08qXvzzQnbB6iDd2IYo7Nr5vB8y0NQ6o+kw67mwtJJQOt2
AVHdepacq0DfdbaEcmZl3xAopKzlxiYwncekLY4R5JikV9SZUM4gWr1Ooron93UxL9g3sQggBsbb
1JYT6Mn4uUrdNzma94AUipNlxjmkFIWQupVvc+YeXMyzHjr3fJf3/GKtEttCROgTc4b1cYqEpCH8
EmKSzHTzYRSxwTGirjWa++kkjdhLTKVtDBH55IL/cOK7/TP5gIPdD80slK/4M8hnp2EmaLohrP/j
AcqIdH00jDy6xiUq+vzSoOlwfwW6/cfUnaUj9nu/+N8fogS8MKxXHCX/+CGJD+BAa5roqk8HLb/o
WoiF4bEdHv/+Wv5kdlquxaZjLulQMzj+qTHn67rLKUCncDe+DcWTZv4PmVh/8ftpuqMgR0jO1/Xz
d9W4E3oclaXXfOBB2zs+uujfTt9/cS/+6vczWuQb4ovCFfaTEDmwgQmYVpVdHc4d1q31q0j9P96G
P7nffvp+frrX+NZFqLGUXgHUaJmXoNS019CZxw/EUX9/KX/xUXA78A460kLW7f50K1IngG8xF8lV
j/dYK4AjlzDVJAMwD8jU33/W8mf/9HT94bYsj/gP0whdRFlvkw59LWH9M+rk3NUSfc7Idvv3H/RX
F/Xj/f/ponI7dovO+eWDGIIDCCGGnX1k2YrL/+FZ+4v3klxeoaNzg9lnGEsT+oeLMq3cKNh482tj
bv30vR83lv/l7y/nrx63Hz7i58dtbixqJUvPr7nzHvtvUvtfPM6L64uJFA4063vv5odLiKvUaqVm
5NeYFdAEvDb9LxYvBz8zswA6+zSdF2X/D5+AEoX6XoniOtvvg33TQffS24e//5b+6qbzEDNTkwt2
8WfVIaA4wiScObsS+QgNDUmysO56RFDlGnndP/4sB4SzYQgbjRX9pz9eT+gz2oB7nF/D5Uy9wVsd
AkOoVgU11v33j/rv/GnJTflt0V2/t++/Mrdv3rOP//d/H8L3puU5/pnDvfzUbw1PQc4EQlhkyxbO
1oVh+dv8CVeloi9CjA9Lm7P4i3+fvS7YbstBeSa/j1h/H77SQCWiT7kc4cl2WVwu/6DnaX1/L39f
775PX2nvQPVWFiHejvvTU884lql8WqW3Op5GtPtdsxJyeGYNBDtcadcyJDWNEPoLxDbMFBMD2glT
rjOLZo0m4aPoootruY/MVKn5RMXIwyQhs6EnBvlm76TdVrU+YgyxR9u4ySj5V7Ab1mztb40Fsy+C
XYYnY9OM1TvR8hcKuw8yUzeDa25IKKDSE+WlGuUXNJw7ODw0RpuCYMso6/ZxWe9r1z01ZG0XhrWd
qeqJuwl5q3oK4OLJHvqbwQg72lYy2oWz8Z7W+tbQ9deQanVr+5hqyiqbdrVIA0xsDqBteIzW2PZb
xy9PraHtXZPQzzB+8HtyNWlg4LQvR6S/BIc1QCZR0+u0YaR+YshueLMzoPTJRb7SMvvqmulXxtjl
bjKYEkUBXDTAio91WnxLSyyDej5gvGviS4JaaR0FwKHo/6ZIimwSCMZiQpbkAPycjqHVIosjIo9m
p3bMqI0pMwlzoCGaM8ETvcap0WovQI3BwHU78sTvojHSgCLQEpxQPemz801oOBJZRe/GMM9W0nHf
4ljcT02pYWEpbAxGZkZ313ycs+gNXd56SEmajhxkxGZEV4wmTVzp35b26z5mWLM2om7ahI0KkFSa
tMPDlzDm7w8mKFIzUlBPUV4jPi5XZW7KTYaCtIiTg4ZSdsC9Q5JhRCkvgCVFfI4+NpDH4YIUefgK
0PV+rEl7LZySktuk2g5sXCc5Ac/tBHhmiPm51AQAi1ZU7rKiu0JberGEz31vOoTPY7XSs/INeukZ
s+65jjgyaYFwPEuBN5FGznESbBbnUBM8SguYxizQGrm0HyybmFTm+UET3RC0/lbFFZLDFAMo/U6C
J5DfDPyhQ4+/V6T9vhL6rWGgn7OGbJ8I/1QH3YFC/KnT+l3R5ATrFnSbgYKTroi/qunBzKqBlk0a
6mtH71/nKvpoesPT4nFHpPuEnxSdL7EcFLpc1WTfFtUA7MftH5wk3aLiquabtr/4WrSddPcQjPlV
WPmt0ft76GNXrVPuul+GFUvPo6Nw6opwXhtzTaOUcwIPKEo3pYX+qnIX0Ti/NM+Y+DnKyNAF0T7L
9P5bmIxEH2WmvTHK5VXF9jjGaj0Qym3HYwdyr4q9hRe2E7l1CAXHxJm2XQ1gxgRjmrvjTtPGYAP8
B10dQcggyB1zW0PZDtCiHws/ibdZL792bPBkiCdfC7N/rebuy2wP8aZo6KIG5nA7QSFEfKV6QI6q
3bAc9VAHu5zTIwe69sTaU61jp6SHNFYVpm3Qi1ZOr2ZrdqWynno9cZxdKGtB+4SZYzBUOR5te6zn
jdMFI2irXIPOC8THdPbSASK2qk0SK27oZE7dg/uL0MStNfPUjR1SbStPw9d6lkZ/BXqyLwJ8tmXM
VktYlNxGjJBXkCrfRR3cNz4wfkBrRynzbltr9bhzNHWy7DFa4yiUC4L8S1UUDS0BhfI9lq8JAZmM
hVD9CX1WR7PgYU5ywsL5z9GLW8Wn0pfvYYyaq3VifMlz9a2Fu41dutBXMgc0ouvAKuu2Hj2CvS8T
0NQxcuNtUmoXIqruNL87ZU7xqY+Gb6SEecOISrMRCEmD0mKuYY7HcDpYkCUYb5TvER0fFfnDqgVN
t8FZAb6oHR50I77xG9ot8fSWhsa3Wej8lsD6lvTZc44WXZuPxjTGa2nVcPrr+2Rk6dFDAGRgctNT
GtoXHdHh2h2LxbB4CE3CXwgKUh68MgQ1Rnaj7GReAycINjrUZoMdcz0wNllHY3eZUdS7FupFvoUS
Lgmn6qbAYGRiJ2MiV65tN7Jp5CBdzX3tsU3WsxW8GHUDJlbG/jrUknjtJO7Ahy9qw8Tdm7MrvHkE
+G6CAqB/gsMiG8thYxfDuXQWiYJDwzwQ9pUY9AuuzMwbS//qMrVrsmYfdO27cgcE833yMKVatZmz
BanqsoFYcffkd2S2dgMOD2bRsZbwN3bzawfxndYlvpOknQukyAY+j6L9aFz3iQV6qyOzT7KQ+PLA
3Jtx8VT1EEcjeyS4Rj9Ug3nbO+W9axWfIza6FRqWG0nmEGAG3+tz6e/8WdSepdeMi3q2hBbOmWG5
MASS5OBiBEGtnnuxY1S7xiIbLZLNNYk6EAT2lgSr5z4T+zKpQg+5Cg9gJ8dNopP7owuHET1q0p2G
rtmzGTauFZZx+mhipwycry1fqNeE6VUnHWHl2O2xy5HRV8o92s34lNLa3kwFmyBLFgToOdihhaDh
5yoPAVWABBvPWyCMWyXosmpNuXTp9OwwG6m5wlFDr86sfEZL5kHK6BYY3bMGoXSr5U6+YpFjgbOG
/ZwZvBKWc2vU/Uw7x8zWqhi/5EXwwjn52uT2l1maX0albxkPvhZJgG+9VOsWlYSfla964exNWT8M
jnEyY80zoal5ehqejHp4D7KUBpDx4SbzMeiiu1lQabut/pDLZRHHqsNaH3r/Lbu/Kw1MDrB/U3a/
5/9nHX0ExZ8r7+UH/z97Z7Yct5F221c5LwAFhkQCeVvzwGJxFskbBCmSmOcZT/8vSGZbctsdR/e+
cEe4aYqqYiHzG/Ze+7PyNuQX3TVAAZo60xVauz8rb8NBFAb8ivXPHAD3U+VtWV+oiYnIQJHFgANl
wX8qb8v8gs+LCAWs5DOHFFz+b1TeyAnov36uvGcxA1cJ0jNBT+vo89d/6jeRIQc8E411YvRBuIId
l42P3FDa8SENsTWbS6ObnAozr16YrKoyUJNt7q38IPMvrDZyXuJgZnuXmLXLZ1xVhnHVGzVC96gb
eUTqLlNn4lv4QFptEu5Zapl39ACavTdqvdIWSmnNOfUs7xCPUgfbHceRcRs6KhHHyZ+S+ptCVN6f
Kgt72XXBJ7zDif2OWClc5VnYJstWuC0G6cg1kL67YXdDNlSzF4nJ4QoqO57Wnj62z5MA6YnAKNCP
JqjpY1WWhKpkKBnWwaDKZVVWzbrVx/BoNyO2aA9bA3xRT720NdXYQpReT5iIYEUXZ0F7FZj2HHj2
zHLhWyRZETI0SJdc8u9Fk76jgwN216WleGPvzqKTVUrp9/ts0u1Nwxnz3EtfLjpTD8NlH8PKcxVM
NKKW3K+GFiJaiHsPhT17L+jQ5j7QvOACV/9c1lXOpVO2w34qinIrGHksOUsanGrZsLTdghlOxW5a
dcC1g7pYycZdggzzVm6THt1WkXjjVc5ptO1pHwvk6aBYGRWT9OGEJYFh1P8LiyCWZV63hKLA0ixc
9Y55XNu63bRLDHW2KIG22EbYmNYpmTceHplaDI8iQBIb9xNYPgipgEFZOQDzb4Kqv4wR/i1RuQ2k
V85ObuYT6wgw3ln34/gWIIF1A/Ike490UdFahNnXqBMVgoPyLRu76Aep6t9hgUlv/8+n1uVL8Tej
gvl7Pg8sAEw6Y22mzQ6mVGLR/zyw+JJkV88M1ND/YDN9aqPcL8i6OUeQVKFZkg7f9adU1bDFPCiw
/jgDf+fAsr5LUX8+sOCUOhYjSyhMCsvDfNb+fGBVZZ3ykTenczEr7wz2EQt8qHgskOUZUbn1kOmJ
Wa+Hue8V7x0m/gECE5I+QgGTVYnIT3Ulbk9EfxPHlI0MkJjWZqEjDJQEE4yeyxgCxSC7fHNdIiKM
ERP2iApzxIUuIsM2Ms/RrDp0sZQsK5+QrwZJopy1iVja3zWZHYkDLVCgoF90ZiUjCXjewkXcOM4q
R5gF25QLXbcJzSsQQpJidcWW8GzPCsm2yjp1YSGbjOW49Qba9dFW1wnCSp9dUjYrLUcb/oafoL4c
kWH2sx5zmpWZ2XeNJmJNLEv+0iI0REPGybhD39BcoA8hKRflBHLUpYnws+XZmzsq0jxN8vLioMSs
anOMJq/UD6s5vRc5TL1tyyqMlzl8z4Gs242jg/jt4x0sEdKMGrUs62BVicTYAy4+WnoSHgziQTyE
YSA09WLpxciPYmCvqpe3pRFKMD1Vs0RmxqtQlTi7idxnfavjxKULtGs72TOzupQwiqwsa5Z14z3X
vnsXaa69DzVrJ0bvnZUGlRW9uatkuqrRf5EHD2xDE2KXB16NjzbV7xBO1QtnsPcsfIeV8Isb7Pu7
gdCXZWDHQImmulzmYe3tkTrp9DkIS4tIbUJ2h+spwElWegkxS378DWcmKV6lQRelTSaJoYaLejQG
XwSOnqCYYKU1hr7p+jkPLpmj4WJo93s5x8UhwMeLp7nxviBLbphD5TohoDKbTrRtcqzGu6r2c+/W
JUHkYMjgzddyRlxerA5TEQCVSKp9Vfp3aLvQKDdYyzRiNxkWr+ugtdedy3awy/Jj5lZoZtOPfKC6
FVN/1IfusajRkuCZe2jNElsvmXzLzise4VHoayLSLtpsuEBDK4j8jMiYcAl5yRm99fYpm1weCe2h
6Q19KcBKRyZrTumLs1P725ZL1w7RJdcCrKyK623kmBeJJFJKV83zRD9Cy3uvBiZEKUZh3yztLaKt
dBkZZbiuorzehEGGET0+BT4ZzIkfrKmJTlmids18tfWO9hZ64T25FNQYmk8Apqm/WWHx0MXuSoPZ
sahc03jpKnutGdoTIVzBom/ckzVg6CT7Mb6WsXhuiu5YG86bM9VH9vSXkyEwok1cW7l9HvLcPGVV
SpQeYpgCj5qFhwwsrM6YKrihs2GOE47kbd3F2lqM7rEICTHr4Cl6QVgtM/iVYYfFuImTazfEGm/m
1VOhNRBkWm+J7uUqsL18Ka2GZo5smpAJoSZ3U93n+ObQxelVrZYVqPNZK08O2d7p4jP2EIobfutm
Xx87hwi2OJ2eleyaTUMSqmQKaldgS7VoDiwtL9p+2qsifDXtAsStYYAm6dWiCKPbJrFfFVM6bL81
8qrSefA1IlmM1OMhzgPS/YJmnZachSTrJcO2/i5o/rdP+N4nmGzv/seN+969vP3dnct3/efO1b/w
J7H2gQtl/egE/jOeN5i0w4igPAfQ+31y/3nnqi+2KZmas10hmIpv//POJVJLt/EzEZA1Jxz81nSe
VuAvPQJXLrtnehVaEX7gXxXJsIELy/bC8RxmV9bozFm/SONwU9wPk9kv9BHWsTKzC3dKbtxRvI5F
oi0djLNg5+iNCVQBKdOoQx1TOeqsFgdNvqogPiWtepim8t7qyQ1u/U2pSYJglfOUFGlBiq+k+6Dm
1s30Iu+tniOrU4t4Qoqi0+OTlydo3+MHCukJYzWRdYZXLnFPwNA27cc44WM+Tq9QBlDhMlHpy/Y+
DpurSonLEFHIVlfubRoP4PEH/5LJ+iHvO+zpWn00XDRNA3y9dMh5zRMzPWtRuu2+dYMNK3tvwU5r
kwXa17ZAv8Odbpvqkh3xZhJA8OEheWsvq431RFA1Lu5N6c6DHAgHhjDARYfnOjbkwg/L8XZiERF2
HjS+ol5OJY51O7JCLm6B7yzTIoj09lM6QRKXvecQLaQnBycP1aqk0VppgwdEPmd61M9C5BmFPlKZ
9GpaWEZ7K8ciZ+5kP+AjBVToh5VARdNyaePnB7SwGCRz9Huj79FhgI4qIcWXjR5gO2+6Cqm0H3Hd
kDQtVl6ORJhxzwVivHVcj1s9GXZT38l1W4MMJpRxO4BqWH6POPVs4144ONtSBzs+waeJXqtF10z0
YVRrsuaDE3jtfZNlz2HyXnm4TEXCwEnU+7FtyY8gbktG2S43dW0dxIXNLKk7KZ1ImBjlaxDoX0ch
D2mBFDm1ceUbdnkv0vrGTwU3fLfoi36Pq24LisPbhbbH0iP0dlkdgJwvrSNObmOhtMLZjxr0hSl1
H7SucrHOaZtemVs9xIAz5ze4Xr+fFIsTjEpkLPoZEDENvH1ZbMMwcBa6M5Ey6DHgtTe1FmKzrtqH
CdleYpsfucV7xgH/qLvo5L34fnSCJ8z4V0MQhxiS3F2cTY91NQ8j82CH2hZDDL1kNjSHtCVXwoym
x45dA4Pll2YM1wTVHVUUroyweGJr1aw8Cx0tHhikxFVyx3VxH7AFXxQtlmPdiY8xUVjFhP23cZ5K
YEiLqpWnqnBuJvxGukXk0qgNW30cl2nbPtuufwNudOMY2dkS3IyFrnjGJvOCuB6wZzK7mOLu0rT8
TZy9xfMiAvnPuu69bR72s/lfGCscMlchYEZXB1OvSC3gZ9ePEzT0pSfNl9QjAcjWY7rBmuitxCfp
shvv5ETRMOQJS57KuYNSd8Q89jS5wSlRw7VlEoqp4zdXpXrz5mWXYk0mnRJ+d8oH0LtLWAWtvcgk
TJd5a9gZd3yMH50GJ6Xh5ZdNKK9rZb0p4B/0nf1V7qEPTWtDLD3fJFzCy+xFImn0XeCl8E+H5GqM
1U0MgmXWrQGh7+BaE3oKL06q18FrXuKkvPKMCsC0Y3urute9ZTqWuM0i+1i4tbiaLHcLNDTIrplX
RLdFZnzzRoKY/Hi6n/L8wpr8VwNJYZu04y71lLZuYvMyaFg4kstdb8YEvScomve8cKZ1C5cLuEMB
m6spudgZtC9QD7E0spNq6YnqgoEf20ID85mxD4LmpkKWutB7ay8ncTm02jFPeZVhXK6Khtm3PWmC
UAR/FQVpi1xbrP698n9c+WzJ//nKP1cvZBT991xwnvB9XvkM/4QBtBhjpwsfXHHnfl75hvuFS8A2
ud1dJBoSncznlW99wWQksUJboPTxovGlzzbb+mK5UvIPf6xNd27+Tpv9d3NBFCggjhGYmcIyXOPX
NruU4FN7R/dO5PexZ5mSmADieWymDaV+zJyapY42j9VEFBxCb3xyfWNaFk70DcyNgTST1hYSH06G
dWnpEdi8slgPUUipauLDf4DvSOCDofQaaASP10JjpGRyaFvViyDR4r1pdY8g4syeA17pAzJW0xnn
4yZow6hcNwlBFMukEqTcVZGSB/AcigYEP+j32KA4LFj+RnOa0FBVHxqseZ5p3H526CGTJ3zIY7m2
kHMekWbR7iVzRlE9+qQDEFuUoCsviDHCWEBj3V8b1nQREHPkWdqFyJO9QfzRgHaRHS6LTNTU8G3q
Du5ALYKLQsitXmhXEc/8TeG5x2bOVpJzyhLkAqLK6pyMHq2P16MEA1EVWkRITnsemvqsxYO76DF4
LEa02pwR/Zpge6k4mhqotaE1Vh+x1dyGiX7LHCe10XM22ZVWxtPJEjFOhGLDviB4JGBz6TD582ov
PXUCVJaVExFdg/81C0TFZu6iJW6pFqz0VpN2vylcbgennMxVRSsEDodUp0Qu8GUOC29y5Mo0suDc
+eCLwgLukWWjRB409nE9Cm44VLU+VgtLMTQsTMYnoXYiV3HTSYPteluI+1oRBsS9h4AjcTfMWMIF
hd6S+KYK6JZTPNleyyzF0JhPLDJon8t6xLT206P4N4rEeT705/wI4SYPHHoVyUyAgptZ1q8f7EgP
ej1W5GObelBsrKQ3XwhYcJc9ZMFg8e/59+P84+D55/PvKnn59l79zfnHd32ef+bc8gBR/8NmOY/5
Ps8/zPJoLOl3JLrXeWny5/kHddeQFjB3UyFc02ey8uf5535xDAaNhA+Y2OwpwX/n/AOe8MvHhO0L
kb8GeilaKNNEJ/eX868bewYJwunPDTDnpWhIDOvGGyfvyE1U/jk1yugbj1hGOKZ1RyQoxbOlMbxx
+g8tQNwj8ddNloYTASwPtEwMIw7bVzKXXiufqdOQOLBq2+xGKNh2Oq75bc/AngRgKOuF89pa4a3s
pq8BAx5MGASMmoVYDkQG7WKnOFjz8DN1SA21VLaZEvOWn7XqG6NdVH0bwNwbyVhiL7L0JnlqYnWP
PpfOP/bfoto9CXTnuhjOAQH0uUNxSAF2bQa6viGLuVtEorsaTExJyDjlwjGR66RJPNdJLFTKpQUj
Y08vG3JcGzsQYxipGxjs9Fbuuh0La23F3lbGCZJCK+XQLMRdpdiGjAoulbVuCxpCCKQhka/jfjIi
sWyywMUeNj3Y6g3E3KoCX8MQ6+B0zSPpViGSBrJ0SHcH3jrS38mOBE57GN87Pd93hrNxLEh2Sg8e
fINDfkYxJS42CKT7NFnz0Mo59yF7E8Zufl495Jr9igX16OQxHg/W+pbDENPYE3d0jWQExY0tb1ze
IS9k9avlBEgmyWUlFOID/TUeJoQDuqJM1I3Zdtnfp6Z4ihA5c7YCAmDTvSlao16owTlCH70j+xit
zqQ/hF2ULPqMEFfLuy+G6hKX4NGviDeqk4S46OB56LS7wsJGFgw3jZIbXWqPrRZ9A6lFl0nC5bIq
YLpOs9HJrMsPZxxv9RZaSSnUiV/TRR85GBiIQhMfGLTWnsnL6dtpUzh5vTIFqc44eWUEOUD3ne0U
OfaiyvJnK5NPFkDUJbmYL6JFb8GHnKmdn2GjavILo0vg2E1fVcXOGjjP1kgkmIVxl8vmrdNEtDAD
685mKOhz9C8mr7wydDZEBj5M5A/UqpU2RistaEkXtVx0rSp+iBrepIkmd2HTtixEat40slirIoU7
lVZqXTdZcfD83r802/xhqJ9Ig7J45p5SJuUk+em7wOdGmRpxn5djcD32ldp7hC4tcrb6W9Fh7tLb
Xizb0ojWYxtQ/mrFB7NigASsCRpK88CLxnWTxuV0333viW00hXSrvheL28yz6DAxpTyEIsrXgp5a
V+AXPLrsIRO023PfDS1i5WRqOxY9LbkBR7Dpq+SArcNZp503u66sp7yzozWUDMAGAR9pUpFh8jNo
DBEaz1LCle+q4dYtmADkmBCHYHqb796w9N0Va7CNziyhjUnhm4hCXGegxlYxE4fEcS4H1Dt4qJeT
7n4NmUwEru3Bi8Sm2TT7kNlFhQUrYZaRhO2mmPvXiSkH8AIKL+Yegm3uZcIkJBbylnfXICCNCL6I
PpWZyaxGqSzEZr7Xv9ZSPOS59ZjqTrIwmbdEM/SuBJAxW0If7AC/IIOCYInz7bKfBzbZPLqJg+RC
Z5bD/2suB9xDi7KxGZEy8DFLbV1Z8cfIJKiInIeiDE8Udq9VPRHHhH5RMjuS7awnKgMLAGaP1KJh
WKx7xqs+RDcusyd+eQyhIkAhTezcp13X84RYzYzSgkGGJ0fOvQ4jLvA5tD95w8M08ug5NEZ1YO7r
uVMKaZmInWNsYBx0WimvbS7iubeifsfe3kuyKzuSu60wBcLhuMiJUoP1Mg2aNgMTc1VGm6ZFHVoU
+mU293Pd3NmZtHiT771oY3rBPvpem3tAYxi/kQ4f3Y4EGi+rHptvLdhnjKRGO375rcfWgNuU7QlN
233oQrIrim8h6UhL39TTO8b7Oy0z7x2zTZdewW8jcTzSxmOEfB7llez3Tlp4JCK2QAK5HYrmmzJ7
Jt5pwmcNgyZlW6L7YCQr3SCPjIIsW9OO1Jvaa2r1bKYQpk//VkTfK6KZH/zPFdEtYpGLNqz/3/mV
9Oi/k4z83BqqL8IxGd8q6lNFJfRLaWSRcWPRlemQs3Uk3p+tIRQKxff8J7qW7/osjYi1haHFFBmE
0A+hyW9IRmZByJ/1M4URlGKX/xH0rhRc5l8Ko8qk7GcB7J/xrwFgOYbij6r5Hz09VB6//IzZXOWS
80NgDwxmNDPuXJz9JEpJjVxXRTIOlxjM92gt1GbA31dtnHQ4DdYgyU/Mxno7IQtYS61gB2KQ5nZr
cgICveTSPDmVo+p95nvlqa3If2e4ZcnyNEf3DGtRA58AMmEwU2Fos84hxRS7OEjTNQY1SDRDOW0r
TLfr3pDGtgpEua7zPtpaksVK1smryMn8LXgvfdXmfrUNWUNhtKvySNtmKSahWwLkgo+UEerG+mFx
c2vGmOqH9U0l/NvaKDg81oGY/XFccnjlinIor5uBv0VYTptJM+yFNgSPVmEcgyFg6YeIbxHjVbe6
cos2/qKHcrRwGu2yDboHO7buSlXfVhiX/ax7kPD02FCXJNCG4qKsxNoX5QUGcZpXP4YnwILXH+QR
wuICftksvMuZeiK81Lkzp3w8VLb+VEQR5vnEgTuRl+cqlNFOZQH59PprIEnACwoqJ+EB8nMT4z1I
clI2lUJIJ1mKK6ahvoDu2QyDvQWJNh3LsTh2YPoGMssbLfS3aWJXq9Ca2MMWbNvDU4oSZO1Zcxwj
kvVpqvZeFd4EdplAg7KRn2vxvprmhALqtaweqnUVpLd51RwDa9aVj7r8NnZgEMfK75e6KTdDwUd1
MMI1mQkUcyxKuZL3Q1GeiJUFGhmxnIxpAXFCIHT1I3tmR0JaHgiYrzMGZpzkJgh+wcRybE4lJEsa
eTAGMY7wPNHfhWzfaMXdbZXIFHZ0qpEGFNvhdZG56coYREh0MrNSwzG0g0LftGXv+i3Wgv0ktcvG
cO4bxDVJ4MmFy3TSi90Z6H3BTPq6yxgARuYqqrz1bLlMJXt3UAZbt2/MVWnxxoN73NV699WYB6iF
7c/F1vMkuxMCVOTs1XCwE/1q4g/tjOyUMjadBPLjQnsxa8QK2rDPxXRheZgMnIfBe87d6YCf2t3Y
GBoqxwaVbOCvH147JrltQ4a6wGxqm+OV70UGCsRYktKsnhjkPlk0ZquqNy6UyNCsijOgujEV4KKn
FsLjVG4ISbhzh/pexB3aAegHdgALr0OITfTRHBUNbyOP91B0mat0xkOhBXeum95rxZyn0W8cv/gw
neFQKu0wDPpEpK88oOTaJjJpkXXWKxC77V60orkRfXTg9R3tSH+G04uLw0pC+OUQP0yriC7RDsS7
QUvNpxx78mPt5ixzh3H0iGPw4pvBc2r0wYmxpl+qWB80warUZk5BMkduNEA0SHrWVz2PxUVX2OFl
K2afQ1J1xFyh956fMKLoc6TtDfFKpee+TpJaJLDlg1abct3V8tILYEN5SdEtGqFqPszWTPJqkyMs
ZpoV075pdNwvlD3lyu8Kd0HA3hEH+21axAAqelwNXVEzj1fiUUqgJbJblS33vTPU2cEFmXHyioA3
ewKQGsv8VfgMnSTFMo+c4ndk3+l+EfM+jjHWFv8ioqZZjLF3jWv4tR3UMvLYLkUs+TxNv2WC/2RZ
xXPdxoynol0XNR9O1Z8R+0cb3wvQjvXJkxm1QNOd53zUFvCzzYUwkJZ5PXVfU2fuIoIhUXv2ahxB
sYObjkrzLZXNsC1Q7kdZ99RZHgSIBqZL2D7DvN0UFb/muEer43w1svoB0T0mi5yF9RDdDsl4kal+
15QGD3gfffXRjIc9j+gwnDov3ZKMnHF+ypummc52LZ8Irr3MaTxd0X3tZ1hXj0PaAbjUCdJiBx2D
p1DU2PEzjgj6uEhuCXyAzZ8Ae2jccO/X2IUCK8uXkS1vGXTxDiYGWrjMuWNJdmgssI11qBOoExyx
tTAuZX0Ki6PZ5ZGPk6Jk0aFXO3tOTANVq7UD1BRefRo4F+B6duRwHgxqZFV0K49KuHDjswWaMk4p
4RjqkW8Rv2iutgJnv2vhyCzK1nvRm/jAe70Kp4FdiakOoh2v60LnrylqAru1XWXLZw9uTYcWXTTd
LcFtK8L4pk09KDhuYXDFZODD06kOidF41kVkLUysV8pOtqVX3qVZM5G5le86vyt3rkpHaCBEsJgm
BJfwWXqg0ytw4qaZN1g5dGORC9Ff6SbzByJ4rHXsVo+ZHqCM1t2zrpBA9FlZzuoMZAzAgzcMjb7B
zIe6R3X62BeSz8s0u191yIOWCJO3AXbyyiSCDwsIgfM9MWUfP9Vn/z9jQqXITjIlVQjDIYZOv5Yg
RmwbaYpU/zIi7jV+iNWrsH93EvmXHzFXWj9VOSOfYhm3/AgdnrZ0zm1xHqKr//0yGIj9VK19t6nz
MuS8vEeWZ1t/eRkmcyA0IKF/1gmoc53z1IBOuCMv4X//GAZ5//VjUAyaSACliVZgVhD89FL8PAI9
Fnf+uYWqU5LoWoMP0cr7VlzN+ChZQ1Cxf9iJ/1Vwzu7If24lriBCv9T/PVydv+vn4apSOIid76PQ
uX7+ebiqsOIyQmV4h2rkPx2E0L8IQLtYPmHS/bGS+uwgkJooWhJFuc9odqbf/UYHAUzvl48LPQQf
FZPtFsNVyUBRzF//6eNC1HVGMTgaZzvpm3gXdh2x9W4Zn8g6WYqpvgai/pXFBaOBJtn2vvpK3Hu9
SDGJ2cjSFLclS8zhvmKxsrby6loChVaYH1uSnmQ67K2hXk3tzo60p9z3mR8xEPHPRqT8E0o/dylt
RpGOARgirsGCyXF6QzpBfdCy5xee+wTal+wtSyOwuW+epjzd9ey8V5bdXbF0t9ZEBoR8XT9OHdkE
JlwmHLSSmUDykGktZUylv4dF/dFP5ptLmDHBnHGwZKp5m7oD05CBAKRR+4pviwXLNFvG8Fl1k7rM
5DgeNRHfsICDY5+RPjRw/bLQ4D/06g9WJIL/kJDOzlgZJnmUkRmGC88TVKhBVVK4W9/0+JEVfFCT
Q17rjJdIeJORClae01QrpjGjQOivQx7KsDnB7IAQDFUJD+OLEQqvW4dDBXQl6wKyOrN4R2E2xxBo
LRXKUKzZyyH60dVMEXHJMh9HOhKzq2BshhgFRr9vrsHHYWubkuq6y62IYrMrF4woeKsIR1rUFfut
oIyg4WdkBKQlRpepYvvXxj21lgDnndcESc3TOi4lEuOUZ0OM6sdrPptE4rSRvor6bhnkMj8ocCwU
oCI8ebYerXrV1hBNO2c7VGzzYKngcyrxvxLETFFhxO2HqXJ3WwZluyxjz98ZUnvtCOAGiKpmhj6a
JaNkERVCHdwB731XGqk8bdn3axhpCDyU2Cd6Wy9zO0quXAsNrVFn0JU1BBqK9I6tSCx/HXe1vXWD
8h3bsdqSWgDsudKSK2fK/QPvHJMor89eXOyI2BRDfefps5tX1+blF+tVy2jiamU42E1TgNKvxZj5
i5ysskVto+IDo14de8xgR79vq60KIDIWumtti0YSlQJcfeHV9kcIzGAhxgDXrbC2rOggleiEkEPu
wSlQua541QGTIsYBRt2noTNnRRBBU4gOo1xvAI/3MklN1iavPHP+oUJ/uesnEobWQeQCXxwsd0AM
iRTxg6ydcefC2L7OZyOkSTl+bLxJh2/HcLLSh7tEM3wQgwlNFRk74BjLB9Ls/KU+eTN/t89Rs+Ji
6OonfFxfkxxzrIczYh2kqDu6NM8h7DgphuTowcjyq6isw+dRwewyAz+ANOa6pCzA45na6zAD12ZL
gNp5hk5EtZL+tHtmr7zpfZf8PaV99FEz8/LDJ0uLDmAcHxkuOFur1vD0ptV8iKgTb8W+jdVHznOq
zQvKJnXvcPxclUZwKKjvF1mVX2Kt+Uae1Ncu0YYVUNerZqrcvVtVu3yqb+tJ3ZeB9NZ6w2i0bKt1
F40hMevhuLVMpFfEtqLaSrNjz9qzcoMbX6/A4fpk/GCHLo82Hk6UTAQiZOYuzIND7Hhn1+pP2mCV
s9vd5UkJKwynA9PRMMkwX6rwNXLRV8m4iXa+1YHJEnRhA7PdgyT6Cpc5Xk9hp6+qtjmz9DYDQFRe
5b12iyqs30ZxHB58GGvocrDbx2Pv8ldieDxqjdwwp6bxy3v/OgX/glYK7lw7PzyT7rHBmX9oU2DS
jLxQbXXy5m8SvypWrgmnjhOm3dK5USXYg9oWwiCwI2IHFIGo4oRxxu3QEmnk1aEFvysVazVB7JeV
/cGOnvpTTHuAdGd0T8fUii7slrGJ1evm1upJhbGoFDexqMNN4Nj6NsGdtxJ6nu9MOdBfICYLg2SC
lhWaW9OaYxYj/rZBylNr9hSkSUaWBeqFObaNU0onWXHbZ7xSu+rsOfzWX7T4vrdahJYtShk7lD4t
YZYiFOeYav/dI/8IFZjLj38udW7C7h1W2tvfSGnmb/ysdgzxRcAxMZlwCmoKFv6fxQ4iG4k8looG
HQvOFKrjz3Gp+KIztEcug5EEO92vShphMuoBW8J4E3uc+zvFjvpVb8D62sIyI2mglKSZQN37a60T
mFkHvtUyT1Vegt6+0BKNFB2AVHrN+FCJKD6r1rRiKJAe21t4XtPGGEd8zWMT2hgj9OTc5qXG2Txo
e9vOrFPLRbPqzTo7IhlLb1lX9ud2EMVFFjb5N/x7/cFM+/hWGD2xk3kEhLYZnHfPDPFFCNfbGFFl
ky9QNvkzO18UflrH0qHqiwXb6G1sGv1qSjL7lTgZ40OzwunGrGXYLlWQ5YtsZGDI4BrJhixXgxmZ
bEEjoLCBE1+laevdmdQaN8yXkuBWj+zYr7eJY5QTfrXAA+CHtsniiGSEavIDWx1s46JDEVUFKw6Y
fHxh9tNdV5XhIijMKxPlKTMN/VLKIlqndlhG91o02bMWNXac5WDKsgJxZ41kL3Vj+Ry3rbUXXdqs
J6rQlYM1rirGg9sURLTPeiK9q5R97GapEQlLqI7SWYDEyB0tklbOuqQxzCyLDJs62o+MMdQqn8QN
sJHO2ZmzvClH59RECce/9KzpZMMJ3rvfvYfTbEMc8QpP1jLgg9mfUqa+mfajd/y3+bFQsf/ziXD7
8q0CepM1f7dC4Ts/jwQkJAx2XRpRk2bm+4P/eSbwJdARc9zIj6/wXZ9nAhISwsXw7fOYcgTMwpPP
Boi8BRojw2HAwlX6m2eCOa9wfuqXv6tL5rQFWipdINWz/7LgsKIuY7k59Gfs/bhqENhvAP9F6yKa
BdNDg5A4rrmpbdE9ESN2LJjNbKXuOqxA8YuSz1SvvMw1bnxfrrFEMQwaM4eQ+VA76s30YnvmdEky
6nsvy3rtQKgkOMC7ZQYqT1lHITp2VskF3pWX8O3WkR88NEG/7gn82YTKPaSNeYBR8cGA+6EPkGGI
+Fwm8EcNc6dCVCeEH+EbTa2CWSgjt4nB6grxN0gRhTAD2c975Ij7XmrPcae99x3WEweUynLo0VqT
efwG7sYnPJjpN88/9VI2LvoYHxqRPK9jAMJc2RBsE/QfqGTApLRj/hCk+bUp/bXM4XY7o6B8b5mr
soBp/ZMf7mVh3ZS1hBLsvU8z9ji7kgaAXKuKL7Hxb6Yh+pqW1sIzvW9BZt91tkctHH2M/iwYTsxr
t2IC7bbUtJ1f4ziCsTC24BLaJEg2Q5PA5VBUW5Vk+Oo39qpxerFjlB8tLWKjkPm06DIYpi+JXpiW
tRepNYVSvWLtwHoJQTaIl23LIPoG2LTJ2YngPRpRThih3a3sXLNOVTnTTPEhENllFAdsfDd5PTCp
g3K3xb0DCcMIV5XVhFAaInvXemqMHzJfc/yTWU/p16i2EUIm6AB5+7oJVhANbjeE9C62+1EDvxyC
7hw0FZTZ7wve5vuyt4Ix8kbynaOtlIH3KhSGt2FQapwddkJL6ldYoub4f+ydSXPb2Lal/8qLO0cG
+iaibg0IsBNFUn03QciyjL7v8evrO3LaKTN9pbr13qAGd5ZOWyIJAufss/da68tXJSTJfTar0S1G
tTsgZiPsDOcpicaMsr2MjoPOuEIqO8Sbk33j5MNWy4x1WfsduZk472pFuZU6CrIOYfJy9Od83Q9Q
dTM9qxYWgCxCEPA2yFxLren3I/nrN9wBGCV1iy5mlY4X+YTayO6G8iao+i8NcWo7K1F7/ALha6lw
fpj1CeaGoxwku+BcIRMCmkmGwhy/7TZ159cblezn68qsgFEUVn6TqMRMl0oUYsorbwq79drWRMQC
oQT9kLEZTVQw9Ooo1EnqXrTFRDYxNBFynkY3E4QRI1KHHcltuOUi3zxrJ/kZQIRbhcMdnpgSGyOs
Eqro2At0h3PwqEtbSXKGpyQeBhKvKx/EXpuvx7JIXhKGrJu0GzjOV/ZZMoBhw+FtL+vWmXWvxla3
MAVLZRBUlZCEz73dT4eGnQoFPvF92EN4MrO+Xo2yPXqtmjd7ySbPo1ESIryNcV6+LcP/2Y9EYMJH
+1H+X4vXOn+uv0a/YwCJn/6xJ1GmKpponznIt9+CG97XqTb9OPYeYbTCy/XXnmT8YctIVh30iCZj
deUXxTcbnKD2GEgiLfPfTIJ4G9y/H+yz0OOmNpE9siupmiyG8u+acs5oSKWjgFWXIHp6hqifbNb1
rSlqqv6tvGqrtiYrapIou7AwsO34Q9XEt/AecCm9FWm5qNfyqgyYI5uijhvfSrrue30XMFmn2hvT
HhfpovpeCWomWrFF8lYiUozW1IvtW/Fok+xD7AoGSbJLLBlgWzDHN1mR9resqLHqpok8XYcKWVYL
lSCLVVmmzKSQhm+mMEJlZXTWXU4oGWH3jOLvSjwjWB2Ncp5cPWctcqWmyt1EK+0LLelL5G9V/CgZ
pbEhK4NRMZI3n/VPCewFCq9oj1PY7tzMJ0jHtSPTd51CRWQgZy5n0I4QWCs7WGbeX2Vo3Jd1l6g6
afh5v+kk32AXqewnlQP6jGHMKUDfYcUZF5ZNzBd22NS6QjhGWNncZtEmra35JVMljeR9fWpyd5Ix
e6qrzjFinn5d62AZ2L3Wrg22I6khhUjqH8mFVxQaT/Tw9FjpwnxJKU71TCUMsQlr26DNs7NxAno0
y6msg7VFuXDZ1H38hJC0uXSsxlrFKZTcRYqU/YYEkIOjNSV2GYmreZFLQS8vg0bYsAK/6KptqCod
nYhIjR8TNPk3o4OZhcNzh416IHkp3cha3lqM3Us/3lZKHY9nmRXpw6s52MGrA6ZlTda/T5Z/WBBe
7ZBI3UgN7QiJKNfEjpqHUFPK+lixWiKhbP9ztv7zbM0q8tnKJQ6ErFA5sSLT9us///HXT/5YtdBp
c3JlIEAahDhDsyq8q6RNUr5IqfkZUvOjkgaVg/NUZab357jgZyFt/kEOJQsa1Rurzb8ZX6NZYrD0
ftEyHNUgXYd4HSTaDChOBk8IeQwDH7h0sIwshhy97UU2WJ6apFoL9EdiTRupAQaCw+mS+hmerwCF
DBBDhgl0CC7H7SxgIhgaYlcWgBFVoEaqCuhIBH2EU/ddAY2klKs9QNctPgj7nBSaeqkXYLlK7RYl
yDoTSJOgTa84DleuAe0E04OLRKdxfU2+dGRUAYNNHH4d1/fyaH0bCeFbxUN5nanxraUITWeCgLGT
kCQBLH3Qu7LzQLB5WQLGOA5KcBCFtMqrpFsAJl0PCRIT8vYBfXTZWUhIHRFufkElTky/5Pmj/lSm
vTRd0iW3+1U6KgMRikXTUktVsVziQyU60nOQXWAxcVYlz+Wib6ZsqVJ4EXuuLXsjB5gixRddPLVk
kqduVkCn7uT4a2vRTZB1B3iObSy09sCKrDaFhSh2QFHgwNXF9XZtjczDlUx9igEv0J4khZ5I+95t
ih6+VtOcVXL+BZpOXHuE2BG/hbiZw4SZ6epllQQJ4wmLgMUpuZHRLyQWc5VmRN7IQeMh14s7mtVA
5+exOOfcMrmSxcDewmIclNs8LQ6N0qwzpB6pY52Nhv9AkwjpbaJNW8RJqy7X5a2CnBZpSzPBMRgB
15hkpsspR3fez70dtNFZj/57WXL5FrbiSwLmkx3JtL1BXY45uAQyCjIKQYygSbQCLJG8MSYQAplg
uQd7P6vTpdyQzyibDXMeodquS/k6QHDvC3DFXGvHCpKFBGuDw8ulEVtbYE7rpO82sKrJN4WB0drZ
cXQIURxVeLNQMvSMb55+TRgbaF2y+B6VCRzbcD1QlGeCs+EA3BgBb5QAOGpAHDVAjqhFri8IHbQu
StcU1I4ZfMfYD3A8FIgeI7IMIMzyjq88Jq0xfo1pS/c1702aAmNJ7qixMYGEEAOy1oCGqDXDGUER
abt0j8T1KhN8kUmQRjRJv4664UsuQcFtbupOUVzMm5cBiJKSFnBezme1qdzJTjx4MTCTBqhJxEaN
aUDbR03ylAnuiWTRaRYkFA0kSijYKIqgpFTgUhxfKZZyRrPKnLGEc6pB/axShheN5BUAV8iw/aKV
MkApgWIJwuMAmqWqBwGKv0srmC2yOq0qQXGJALb4YF3iLD90+BgWoQC+CPILgQ3njmDBkMiyS1P+
Gfmjg6DFDHW2tcHH9G2+41/OQB40DWu20QLaFLgZAvEntiwBoQllAaSRzOAxBlGTGzFGDQGtkZoN
RJ7HBpjN4PRLwkrWsWY/tcBusk6X3IJzCT5utwWHUwflwyT4OKo4PA+6eW6r3ZWtVCkaM1zAda09
ROB1hqZ2U8HbKWz9UgPAQ6LOpSqIPNPc740eRs8IrMfPGVA4dbkJwfiQrnofq8l5IDe3Vl7KgEXl
qxbwj1qm+5AueyJ390hPrmtBCMpABemZcPPX+wiE0ChYQsFE/zIGL5Sq1a4CN8RNclYI/lAIiKjx
CUYRZKKu6x8ytfLwH6ervpEvCiBGkqPsJLr2EI6lrQ7mSAZ31NbVNgN/NPSo7OfkfARZ2qbzZdsn
GNWyaq8BThpLblmbo2PWpLcgI5+SgTT4yti2IJcaHbghCCbK2rseJJNhNzd0klPGQv6qN2Ay9PaX
BDGMImhOM1gnX63PJzBPueA9NYCfwiLZkQD5NAKEwqqDFoY+owLT0Y2BRul9tMqBSEEy20VApf5z
qvqulqYT/3FtssJD+xI1L78rT/jhn+WJSjwGGmFdNiyyPsXx6Gd5ov1BTBVbujDFImugx/ajPLH+
QPlk6XR0f/7Uj0YfEwNHQ+RMipUD6wSH2b+hdPh7mw/PtM7JzBC/lEnxr0cqZJeyHfv1jOzmvrL9
hegmvLsw3PlTUOT/lXfZRcG0svnnP8Rv+Kv+sQ2Z3yrbsNF01eHM9tZofHdooxFglmOpKcdmlPB4
rAz0jY3xte83H7/Or5/k768jphzvXqeAH04ElIFiQ8CK6/PB+vrxC5BJ8vEnOankAibuakelf1RH
a9HrtxYDVzoZjsR4pF8iZXGb/rHsNl100SL+VaJXDnxBcKEWl21OMBbCwmpnGgGJSbi39Msuvh6y
0Bud7JNLIXJVPrzmp83bSPIx94hrgU5ZRGKU913PkFnRjwPKad8nY3v6ZkloWvhP24zcjy+V6EP/
7Q3gTTRMZjM6x/UT+UyO1brtZWs6on+PFEzUNZmsSLOYy5Z6VboO4WSg3Wz7rCbK2uiGKwXvCqex
gswpWZrdmpgP/ISMXlZtIJ8NdMXqdZo9qJl2NvgynWdVipXbUcvQvCdObDODbxd5HC9rs96W1GEw
r1ZKO1GcTASaH3szWmYBxh/mVJ2JeH50LjL1ArbLyocDhmEvaG7I79prbbqoE9Pr8dqqAzQ+g4Tx
mTFrXHqJcVOUqAZMZq8zI51oUtwOnpolZ8uh3EzVQxPT1JUIYhnyndLql3G8j8ds3QOWuM2MdFFq
s7YsnJtWNz3UmkRQMqg1okAHCUImvGwzRy6S9BEnNcRYXMeO4TdeEujnH39DQnv17hsS/f1fHnz9
5HEZIgzG7djMR3mtbfztfN7ea2vIZUdy7c/bDWGTS9tz3GmluWeEHa4Kb3yUtsmqXctrcx+t4u+2
m39pqfj1mPT3x/dkCKmnaWdl4pZFWY0SNR+8mnS0VSV/shz97s58vxydLHh2lM1pSHF1lPJFejN+
rQKXsSHSJHolH19i5ddL/P0jvX8ITttVfB+1hsHgGHK4u0BH3mGioipqaHm4wZHR4ccv+LsVkMAG
emQ29hSkcHzl71bADFmZZaWaehxI/crnL7108fEL/G4BfP8CJ9eOIwydokBVj03vCRnaILmcdj75
FJ+9yMkq64yOOU+c3I9Ov5urs9a8Uc2njz/H77ak95/jZHmc2KvJDzDUo8qzPaZIxcwrJz44pIy9
vdD/dM95H73URVN8a/+X+M0vRTnVURC2//vXPzbf/xy8FgKw8csflm/tkcvutZ6uXpsu5Ue/P3ji
X/7f/uWfTZabqQTZ8fw1i3LaB20dvbTq3xswQhD5YXkEAmTxXH95rp9//8M/yiOFIDCVnjKIYwDF
b43ln+WRjDZClQFl0TvRab/+VR4ZfyDYppdi/8n34Cb5UR5pfwg1Ayoy8oJpElNv/LgYF9/LEq7j
v1yVfn2kWCXRk+LXZwpOcihl2smqpIWKNLS4Qw5h9jQ3h3F8fHdZ/ny998URiQCn6zCqVR2mPQEm
JAYY1ski0fmNDoRw7A7dbCxVtfzGBnlIfeZvdfuNmB+PfgysQp2hniLlW9IANnUVLzsLcpgpmcC+
gffmFkbLRr6JO5LRm/KrBBN2oTrnncHsp2mTYTGTKq70ipGQ2tlW2jHIsIstRszqARfRNUKmnQSU
TXOzGGRjOwq5+kCyiPamYEfnAbNKyNorNfXJN0PqriOtpJ5D/h4LIbyT6C+dkMa3QiRPgFa1U4Rw
PlDso1Va0jJFU0/nXFsqQmZfCsF9POKT1YQIXxFyfNDPux59foJO30AW4Qjh/iAk/CSfb8jYnL0a
db+Pyl9D7W8zVcLsnz9JMkYABUcAnSjCELAINCAbV4Que0HZXltsyRIHKK1iBoi7IC+7s1bYDQx8
B2Nin5HKRD0GmhY141llWc++0mPStVCkORJ25ui5FWaGxkKliLshDeKjhNuB5hORTOpjgwvCwQ1B
OOG5LuwRtdrvUw3HPr6Juqw2pjBSFLpzFwtrxZykF7UwWzS4LlrcF2WlCrlafKYLPJswaKjCqqHN
NCeEeSMUNo4OP8ckjB2GsHj4eD1kYfoocH90uEAG3CB8Fwy8cwx9iJfPRhwjDs4RvQBYgJPExFHS
4CzBaXcVCqtJh+fE0vt9iAelQF0bMHoGUYrgFZdK2tOBUNNrME8wl+P0nvHcnYKvBej8qsDnYs8G
/aD6yRQGGGZ+a0lrHgs+PGdPQBaolcm2WxIl5pKb5mnJeF4OFGldFSComcgSa98sNxYeOTw4PAUr
gnceA59Byti08UrqOm6b6htx9xub+C4dP09Xy48S/p7GgvycIDnucf7IRvplFk4gYQkK8QYlcZ2s
FWEX0iXrJsQ/VJUdRqKIxCo5Q0ioMIuRhN3Ini1jj9ErP4siExhNCScbo0yMS6kTdiWAi0xohIVp
juE34GmSOsxNqrA5GRWxPdgfr0ZhgeqEGYoMTpFVpzWYKLFKEWPgLwfcU0GrAqPETyULY5UjLFZE
TfTL8M131b95sLI3P1Y2Sf4k+hPRYRSGraoEdelwKaCJlIFbfzd2FaGnh0RzpJ0kL9uZmX0urGAF
mhIStjt5V5rGwg4nleNGvWvb8VjqJU5T9FcLRRPpNWrVbJCXxcsg6s5NJaCNkJT5WpkNsnxnB/O+
qiw6PS2XRVsViI+i9Gih8kro2TSXMwgd1/fLF2Oe7mpfe7aSasP6RpS3krmOgnVjSqVzP4F+oKQ4
RBPTIGA7LbBAGuTM4jH00/suya+Gvh4IQzSPemQvWFncOtY9zVI6ryjznVWBUqF9z78fLvNOC8hu
KhesUWdBBblFq5ZxjyMVvwjC73VohHvgz/dJDdmjEycGP13nY0L6E03tJmrBU/gmNblMVJAeWV/K
QYJCNKPORbEyZDeJkg2rnl6jxmjahRICVcSecZBFUb2f7eSgqThwneZSqeiZp0BDx4wcIbrZHkve
VlX8DpAlh4906m+x/N5k0GE60udSr6m7cDkNbeaw5nRng2wWT7ne0nCOpG8EExOR3JHRxMsxOS9N
/VhoaY3EK7F6zGshiAgd9BJLf3jvV7yC2qU3OenMqOtl56wjgeiM6GUEJAaaYBSFaIEZUemFdWNU
BVYX2J4zXiyau5Puo5lIqhvTn27s3JgfZj+P3LQj5NboAmVhgYpusfWtSxmGO+kVhUtKPZK43uge
6ohQpNGeotlNwVGxK4XtRu+xnyYD8iA7q70pKx7Nnu72EIlWLbF3AstjnSXVdCsjH+ojhD5FGd52
qXpjg/LYjdPYA8ehw1746eSWXTwsSll+RLKheRhcq4fOLCEUF/gMkpAb3Yo6IiF87UGl23btq8a4
sjsGbzHJ+MuPt+eTWvQticlUKDUcaIrk+ghT0buKWs0yOjdBnB9a2CdIEraGOVwOdbP6+GVOOwt/
vg6KL4MMch770yKgteYsgVdwyNJ0T6boLasSDOfsieUS4eDkCKhwuunHcpXayaZRQ6K+oKuo+Y6V
6pwj4iJ2kkvSKq/MSl5qgLw60mwwl78WnYnhgUdAn+2DKQeUaz/rut8UML+9QmhQLZCDBiRTSsX3
V8jIuiJqnSQ/DGTaBNONkFmGxSeH1ZOoI+ERg/4mvG5oZ4mPtE6+B4yc5ZQlXX8oA0w2xI5ucdDq
uMAr9o2+J0FG6h+kMi0uc4d70JG3gz1w1p/I9RbTrTnOVqGE4J72jXOdsyt1RQ8jHZkoMzK2cjIs
hW/nEEnR2egzdBhUnhszw5I2EaVyhRjqOWlTEq7p98+IXvxGMZdhGiXLpNVeJMbe5Lh1ULYqk1g0
sDhFhX8hRAXGVkRpE5pbYstesTo8jxZODYPkjNFK99NsQSKwJmkjK0O8J/ArW8wjAjUaKJEXOgTl
KFFw53dKdlMNOKcdJTg3MqjmjVm2G1OBslawxQmw7xRbybKU1SOS39wbZzoLipae+/JzBzAKUBfr
4qMt0e22BmUzxfpjCgMOwwgOhpIIVQ2jMGQXNjEeMwI+Os78Urap28wgaGc8oxnznERq+DKlxlo2
q8yz0nCvFjRHtKZawdEmsVUdrzLTTJH2KQvFnMddZTWftAqU394PPJAiJY02qCNSC9/fdUTcFTl/
1x5Q+z1rTpN5c9mnB1Oq6Bk04VPQcDolR9VVzNGzo7eUp3TPVcGqwShhowbNnnz0Bd6nvVHYDyTH
hKuGwdCq62R9y9GwQ1PF4I3JpL2UCz3bAKAovUGJBLWdwFvA4ldyVuRYl6rrIEN/BvMc+/cAFxAV
L6OjamVmM+c+85kBMRl4Cti4OlNvTXWidibdQWsVwDoku9cGrL96MB+wWG0HX/1qWpyqy4FlwEk3
Zj7e+E58bvW1WxXatYkPYh7xXEzqtdH3+yQOr6vIuMos9JdT+2Anib6gbpSXZgXhPKz6ZdMh1rOF
IwceD5MmlZ3DlJ4l7gm3dLRHRZMelBDkQNXSnQotxiCzREj9WCwVvV7LhCM6eU8en7VgN/L0pJVd
2x52FhFOg9LTMUqFArG90YQWwx63DRJprA4vFfrl3DLF1HSfdLmXEBlOlve5lZurodC90IqYayEL
VZ3oEtxWsgX6uSwYdpopGeQlBU1hBpxLeBh7ybkcqvYb2eU+0kqhSSXJpu0S1yTaXwUJoyjmudlo
60ijRWcrQbbUgxn3OBVq0oXnEolEiTLcFwWCOSm6gGVPfgO86ETakejghUOAMSh97MtmVRH56ABJ
8hSFXTP1B0jxQObrrPQ6OG5Q3aV1PNi7OUbm6SDkGRSSHBoC5RezqqxiUveJ9bkgwHET5C32p+o8
FxrYtk0l4POiV5haZ3ow7Mq3cbwwWOE/UtwBdG9Y4plpOCWkJlq+bFl0FunQw4VpLK2EhH77kI0r
c1oV+sa3+vtShtCVyXvTqGvEivp5HA7NAtyTv+vU3nIbUuRcC4vUGgifV1I3bBjZNd5k4uDuqUKs
gggnC0FO79fKJ1vbSbvtbeV+96S+tSHf76ChM+HiSjo4CYDNm30GAGbshSrrmNR7Mio/6R6dtBH/
9nonO6kagv8BztceiuKVLP1+vAJUkQcPqGA/2fjEnvNurvH2SoJ6DcUbgRsxgL+uQUNDnn0s9yM5
/RPz9wgUe+SrIl2s2IYF7dtk7HdlSU5kQUzgHu29AU6wQLEZo94d+L1uo0jfEHtfjrlGtonW3UlR
cSxk6zqlfOPU47aNej1i4/fyNlgRJ/aUx/q9FKblVdARTmEQoLvOjE6kRywoLJYTcWZEnfjrvNWs
eyZM1+XM5FUzzjqNkC1NhVcEqa50jkMS7Gq2bUsif1nNeZgkzIc2eDblPivrZZT6W6LzGMOP9qI1
smfwcYabDsFjhUoCNLwPB6nRgk+u6q/9lu8b/fuLetJhTEzSTmrfHg/2+BTOXyb7E8DzZ7//ZOOQ
pZQaOUgmwtWvIWig77v95Lb4+K4wT+4/erCJnKjBdDDUCwTKCy6THE6fdJZP+pd/3npAbylJFcM2
T2690WqIE9D5FI7qqu1LO2TUJLfRaH3ybbzxrv+6x9/aXwiaDIWtFnknlemv9/gURzjK5lI9UMa8
sKl5N+nK94gMW0Tu/SJf3G9Ntz//chW54d24fCb/4AtPdLPRth9fVVX02f56I9/vi3fLyCmY2+kj
p3QClpF21Xuyi6PzultnlwTdL0XE7kpZc51XiksC0SJcOl6JuvCQv3z8LozfvYv3d+dJazr1m9RW
a677w7hVl2AdV86FtTg2+iL01veGew4JdO0cwtW4ya+NzQ0MsvW4Yd1bzOuC+ESP1pnneNJ5t8nX
zTEkWm8ReHfFojvI7rQ2ts4WXOamvs1W1x+/daHq/dsFfP/WTypoSW2itJQi7ssFCTyr5rVclTeK
RzaeB9rRi5b5Kjsr1hcv58tua7gc2OMzPBRn8QHPoOsvSSr+6rt3H7+rtzHg6df67l2dJt1GUdHX
lsm7CrfOInTnTbb2b3Lk37BdFjg3F7VLVs3aPlQb9YlG2vLj1xe3799f/q/n6GS1YamRpqYkxEue
i6U1DLtZSg59JxefbEpiVfnodU5WHZt0w76f0+lATb3ohxd53Ax4SPDoy+DJytXHn+r3X/XPT3V6
mJRIP9GMKu4OuN04+V2VweV/7wVOznzaaCMdyzhAJcZOjekDOpb38St88sVY4kF8VzVIWWnn1sSD
VpQH6G2rUiWb3/7kW/nsOp0sbo2SNnFvxe1hFN/KnJIkELv/vc9xcoN1+Kq7vMmmw9CPbmQeIHm4
c/bJVO6Tu8s6WZVMP5AmmnPsBqBgdScH+dseNa1zralx40E99KRY/z98LgMYI8JWDfbjyUvamqX5
ZdR2Bz37VgPK1UKafOuPX+O3X8+71zh5aFJyyKUq1McDsAT695dZ9klX4bMXOFkS5yQbocNW/UFm
0W5UZJfpJ5fpbX/86ME/uY/DiKGPn3IfczZYwIY66zfJniMCI3U3XJJFs8i+QwP/5cBKhDp+uNaI
T/3u0UGjTyiDGrJHPdAYzllV9wGvvRieSWvb9osLIvD5i4WxzFxlYV9Ki6t2KXb1i8fqQjvj1I5d
fImcdpO74fqzt/fbjZxAlZ+ly+mdE9WDrPg8dMpRbOTSAuetvs0Vd5Gsde8+X5wRK7/7RnQf0Lzb
aTcshk9WLzADH1+hk++9lxozrJyJWsLrvdmb5oVqLpxd6l05B/Mc95v3qK78RU7HdlWvy7XtSp+s
0J+9hbf0mXdfkjR2EuDpsj2Au1iMHp3N+KuxInp+172Om3KZnQMJXkvfgkfNHdfJEfzF68dP14n+
40el/fOLsE7uk6TXMr3JuTUxYK2qhbKIRFW3Tdybfjtut5EoWg7Atu5lpB/ZqlxbF+hBvW4ZbsHi
PKWfrJTCHf/3+/avx90Qc9J3l8SWHGZDOUtKtdTX5trErLkiYfI82imLl2BLVoJrb8sNTb3z0bVu
lwh++IradbK6jjxRJPxZHPxPz+7Xr8UBv2/z66z+/+vRPV/1zxavEAj8OfgXH+Of/7iOXuvfzuz5
qR8z+7dkfEWjL4erAfMy3+XPmT22ZoNMetHGRvAnOuY/JI3OHxjEbAsmCJ17hvf8wh8ze0LzHUUV
7TwBzlTRSJ7M6D+a2f/Gu8y4nhM5VmgUACq6xl/vpVkLs1AtIvmo2bRZ/Wwmg1V5KoKv5AjMYMIW
NZCgSNCCosFRz4eS/18Tv26CFOqgUzCnu0pBDYGdIk5TGtdNEj7ktbEmHeFKy+19KShFjfWomDoT
QvBFMxij1rAaRGQGo7+gIzg9v0HkhmHCkVO3qpTWkwEi4eb3TABJBskhhJc/z+FMuuf8oOoSCbAg
lUIjX1KIWG4yR5umI5IwBr+kBNZmEDwmem8XI4AmROC3M8AmB3ATeogMx6T6TRpytOPdHaMs4gyB
PdWOtJqBP0VOYjF7LdelAzRscOAwRq250Hyb9hXwqDYiglWCbB6QDGSBl6qbngh0gFPVoI5gfCZr
Owsa1eDru1hOMbkO0oYwbYZznNcxj5EyqnMoeoNamVdD2V1NAABvU7BXqeBfmZhEA4BYcmbsbGHN
KuVxHwhm1hAgDjDAaLU93tURsJYOYMt0OAFUILcm5SsBp08BIK7JNgaa6+SZzDamVJl2c1pp+xR8
l2Yh+iRg7vbNqDfIML4k3V+1gvoFJ8FcyuO0iZtpTdtyWQII6xquWRDADBu+88MS7Hf1oR1bWDK+
FRfr1oiMkaDPiHarXsrttrDtYNlazsTYrSWfsirkmgnlWxxV8xZNlfbVsI1bQ20Bu4vwqvEtyCpT
C4YSqR6CpK4qTMIOwvkK5gI5WLkIxJJENJZGsr5IJOS/BgI7yc9i1q67TlJ9Q2fJVIGBN62teWGJ
2K3AYBA2l+ABNOsgharttmrJ75AJZpfCh3TUH3ObGK9+7K9LEezliIgvvTK+xmR+qdP4Orf1tOhJ
Awsg6tI90vY0s7BuEJhci+gw4ue1pW4IzIKIFXOSjR7Wj3ZitCt8E+nSIINsagExlzpBukTKfG1s
iGl5OozcOa3j5SLGTBaBZmkgHYLHtPdyks7yMf6qE35mEIKmksBqJPPOzPN1XJSXvRaTWElsWqnT
UzUJUiNxlkggp0amYt77gq1t8H9s2rjBXF1GhLFNutScD81jbhiwLiep2OH9nCOPXzUKvJgnmaG0
YCSxkKSQwW09IvAfGHeQqXuFZz/YJmG4m838MNfl2ZiX34hjwZ2g94iVqympX96W0//sK+IU8MG+
UpCZ8PwbLRg/9XNfUf/QyPpCmmoLPtSJVN7gHkTDgIRcjAH/2lcAO6MPI+6bGSRiXPE2fuwrZGKw
ofC7WAKJHTf/LeKU/kaUelfOCym7GERCu2QXs5GE/bqvJHmJGkSO5SORnLi2DBuNDUEd3Usdd8te
T7jfBK4U8XWOW9a589ueOH4BNTUM60ubpdeWwJ2iOPO6tgWACgkVEce2gYyKjQ2FBwllwBRIUxUE
1URTngbBVIVE2OyyqtpWPcTkOTpqrbTNwLA2wKSUGi5rJwit/YR93mrsTQ68dR4kzyI5rx3Mwi3A
uyaC88rY/goV9qMjCLBGkl9OiaQwj5duJEGJ9QUvlvgOUnLNXRo/pBBlh0DGM2PEV42AzdZVA5PV
2GUCQxsTjDAJMK1c6sdQoGplRd/NsGv7vNvZjf+1dIZdhH5TFZBbfQR3G+Q+mdYAcANVekSjvmTV
UJ7rqRDpGrY3N/VdBD03sBj5DKVWuWaa3o4QdjsDxFZB7kOS2PtJQHgVPoMPlTeay+dGYHp7P4mW
mCYZQatAfHNovr7A+tZ2djvB+WUO9kSEL3sdBODRrtbtGxKYFFUGfcrKBgzClnNMVIapBhzhTgCF
pxnhlumsusHYkxKylgV6uIFBTHAsOYdQiW3oxIPAFA/wiqMQUkYvEMYV8JBKQI2TpH0woByTdFKT
LQz32K73qqIFkBYCVKdsDDmM5KHpmGFBTW581rsGjrIKT1kWYGXbgi8xmF25xLX9NQ+s68Cf1kQR
jsusyM6mQkWvo0mvJCyJlWxlxu09/2+TF4yy9d62l4WKWiyM24u8idNzZ8xuzPNCSUh5sjLP5Hny
SB4MPatrvlGWbGKrXps9BFNk98GKf7hXumpZFuhZ5KTvGcY110pfr8lOetQnZe0EGKqhRu+aGANr
WzDby/MMh0OIea1JVnpLf2VmxDSFaHgY9dvUNzV1VIpyIROzhElbq0GxSwwdNyROp4TsCD0ZzuKQ
OUhYc05xuPa6v2tng6aZHVnTSwcn5z6k3YUD3SEe3iRF70ot6VkE5Phm0qVMoXbFrJVtQxmjVavJ
q0QKCcFU/W9JML76hiMjV0jdXK6sMysf7xqz/tImHVGQRXFpBejawuRSKWF924DM0KR45YgVXrN6
4ljkemUzamLIrvPhyIa3LIlM9njDQE1fhr4+kHVhzW7cNxQ8EC3aYlxp5vQ8mgSjj+MTFIyl7Ey3
fNEMfGJpO0XSeV6F6zCRtjlCRlPQv+MUEZi/iVFoJjYBi6ONTV6fISy190pVk9XNNFllJthndgD5
g1lxBEgVTqOA+6wHcOVZmfGF3LWwyqaxW3U2lQF+OHwiRNzkFrKdxgsj5yGLGWg2dUhWOCQ0cqXh
GmRmtyBLceNU8oEAzpdmgMqJa3AaLQL3dMfTymnPMHZLwBWmBZUoRXUY+G7RKUq4YZr6pav7Yzza
XhPrN3IUkIg9QYJMLGCllLt6AphbJvS9IoVyRfzHtdH5r6isuDv7bNuSBeA2SKEogkdXqog+0LIL
X557ov0j5HKGvbBByYV6tx+sfDdKtD2yhJjWwEbhQCQoGGq8tEho5LVjdYA/+3tZLbe+zhgVl8oy
iVPWvzGXkEEUVxrSGTea66MuUzwG8YYgTRDV/cE355tKlKVqe+mr3Vld9QscqmSgUhPOs7oyzXqp
ScqWaNDeawiGZBXWVo7R7uR8Xtk5ValD2nhVyl+YJaDPU7snLcKxPHDK2qKbvVAIGSqD4FKZ7XPH
BqQ0z1K0MufhTDYTMlPwRaIE5OggRc5WC4yOUM3xQkulVZJOF6pjfyOqkUjr0mvMdtnUtrQCy5O7
g9Qep7a8aC37doyQQ2aGAT04MxyIh2r6kJB1i1i2/xY3HSQH+S7tcirZ4jx08MESmn3VAd1To/qb
ESDq6pTyEI70DeL5NlFUtDM9oCQSb5r/w9557baRrWn7VhpzXkLlcDADDLNytC35pEBLcuWc6+r/
Z4lStwLtPR4KGP7A5gY20Ja0ilxc4QtvSI3LUnKB/crOnWSW3/qiP4bklAsSuDXVcuJUxT9WI8Tp
e+Mc06Rjva45xvXh0C0cXNrxR4ZbibZj9BWdyi4SqGdlIY11N7V7ex7LwaFqINyQd8k4w2zsQadx
OhvarAdmp6ydcTxXSoC3hAvezKMX35djOHE1XKggZSJrQQEusDguhx4bsyz4loXqRYapkx5BJm8z
LJP86p4Ud1aDrbOk4bwy+8NR5fwqQSZO8Hf40g/S17zPbuKA8LdLtVkeB9TShu68jSD+grS6HtNc
m8VN2FyWdRjMjRg0sS5YyCb2POjxKIhp/YvSnyqqyf+EJ4LSQzfQQlUMkxVNRjzsbXhSFbaiD6hV
nCvXyeTWWLQXxRTc39RZ31xVp4jHz7NpvQpOjCXA5VW28I8MbxWe+st/B7hPlFBRk/p1gHvz6K+3
Bbjir/4OcBUCXMTUdGCDz4TPvwsn2gHaDfgNWujsCDbE3wGuUL02KI7YlE2x0QRJ+0+AS00Flqgl
Y4EKQ/oPRd8MhVD57QrSTRaPeBaYKhPyxdsVhAegJse8jfMW7/NqFmpoRxjyKkxTCQNgb67UKIcZ
UjtgMtUcopRG7IiQzFxpnaPaiMxpTl1o4YVgS6WsWDYhJlSpEmB2bibzsMnvPbVXFKzQGizBUbJo
pJkmNV8rgK9XQxJ2S7M0UYvSB/Mw7K2ZWUBNyAE+nZIANBPDU2mtWsqPGpVpGeerVd6lZ6UaImQB
kCpCFJqyg9JfWm1oXhYki0gAdZDq4pTSpY1JcuykZJKNw/1JP3lCt35u9xHiFY20UkIM0UOhLmw3
wYOSqn0zq4Q3W52GLQcSN6WXj8gIaCBZIjdVzl01pHrbpPwbVPyVBdh5kvP4UWjblojy8BT0bkeh
fIukZDFzEMPFAes8RBy3RyS3LiGF16m6roV+rimUdLO6NcDuhFeZUU2xwjhuJSzkSxP3xiAphuXo
w+woEecFOwu2/kmv15a+5Aj4Ogj55ugLHBrFeFF20TAjXPmmFdZ9hvgv5uPWpEQOGNbmBYJFN14L
FLzrylmLcHCJgLCMkLBRYQ6nCm1hNKKtJYjK27CLj0zkh/sQHeIBQeJeKBM3tbMIkCo2UucxF9rF
CqbySAQjS5CCcpkgsgtWWwgeB5j0TiIhgqyihmyjihzJyCN3QigZBc8ecUDEk4HSwW6vqm9mW93Z
Zj/N8O+bRwDUuYLRPMtRYc4oQiwSGWHm3ja9WYVWc8ZXH8dqq02DVq7nKCYhsRZL+KfrzUVeAXWU
rQ5O6Njco7l82/rRA26B+sLVlIfcjbDq7f36KHVVQhVbW+CM0S7MXnOn4MKRx2a5LhuZGqKMeAJ0
TwWCQ65rh1LjOEvPRs9FszM2Qmb/HEIInVGFmEPnTxy3s+ZKWEWzxkRhPc1N3i3aguz9fJqnUbwI
0IM2fdeZWKUDfDNgj7g4i3MB+ePMVXCwjGsN5G+79FqCTt/uz7XWXalGekGgcm5GNtJswaJRD5Nk
5nanDmPCJLrOi66emoN1ESXmN8tJzqO0wM1RC4eZG9JKAAoGceSxSutbwJvyLOtrLDDD3JlXllNO
M2Sf4HukiyzKT7FmWFZS8qXymsOo8E5qosiVooJzwlhHjdsVFozUDyknTsq+P09idTyy5fjOr4Iz
w8zTiSl31mFYWCeqk5wFdb6MJa2e2NWgTrMoGinKgHH1UMfCvFAJDpswOFGb4ERJ8rtY6YuJTUo0
MRX3i24Z35qyOleTSCc2zpxZj7YxrCXMDcu0xhDZo9ctNfXS00nmYBASKA7JVWe630aX9wcFBBPH
AL5Qzd+RDwC8qGMkdaJDdywfi1TT51zxiDs46kr2kLjyyVgnDtM6bWv/m+pql3VHWqEFzYAwdqWD
ZSzNVVTIP4HPHOtBcBL4voVuGCI2cVrMUCy/G03txhWakvB9UKwB+zfBWekK67I7emDUH7X0UpWQ
Zibco+rULGvhzVOktgu2qr0s/QYFDPWm9Stqc5I3sXL7KKCcMHGt5DIuwPhagXTkd/GXwKjTmVz3
R+ZgowyJij1iMYaQIoynZoqNc6xjTj3K/ikGRdIEHZ5+JpXxT290b1BCAzusEMpoAXZWvR8+lDmx
WabgR2N340xYJUxTE/OCzpPGVW3nC6vDc3QsxssBvZU5/oz5NHK8614L5o2KS5ObH8Peahd6Xh7h
FY6tq+J7VMGhMWjksdPYzIyFmwy3uBAIgve6qPpg2asA1+2uPTOb5ItqtCcjejEozWOL1eqLEq+n
NrOPg7yklOvCpGIRTbvRhBSFJdpgKfejkp8aHmd272hzpBbniHk9En+d1j2l9t6bW9AWJtUA4VdT
7jJstjCyAu/cYW8UySurRv3cw1ChZRHg28TJnU8sSA8zSiUxtkvWTd6gsaYbj1HNQRloZoZ9ovC2
QjO0hpOmaB1u3pVzXjqjt1T1jkAaHrMdo6BpdSXajSp4S1LbEuguRdMRP7PBW3N3lvMs8BsweAOC
MRSVzm1bspGWMdRlWZW3QaRcGwjcTzNk2hWrvkPWG3gM58KkqlkasZUDNuuVxajaP6jr98vSKck1
sx9liL9aamcPlQtQ2wkhOeGpMJ4hKWPM3Ly44M6jIsPPuhxCmkOiRCWcUF3K5k7SPLhmhPKwVTxo
fnoehg56UZJLdokVsAJ3aaJ7AzCszGmxaqsR9A8bXLFqTjDXNoCgyOyyPEixFsoWWeOtBoj9c4tz
UkLZtJPS6yEbfezpwu+YBt9jyT6lewMMyMXpKaQ3S9HgWjFQCi1aUvRRsg7z2ucqTnXYSIRGU3RM
UbCRlOpcCE96Q/ITBF42tROkayEaodTmncjYYRL65z9tKfXmVPnuOvQi5lIBst1LzXXkQ6rLoTLK
GBRdlijbcJpXjnuqU/DxA93Aq7fx7UOsi5ziLIvjjCJCGch0F0LKdeNcVpzC3+AT/l0oNggrfxNH
N/G6pJv9XvJN/NVLHI1qOo5HbAOKu8omIn6Jo+ET0/iTwSs6mAoBXPw7jtbMAwrBSMHJopCL+Bs/
eikUGwcWppEUnk2LnW/qyh81IG3RYHydifFgR9Ex2eX/FQrP7zIxPB3lIk2y5gwLZA4j/MHKgYOH
QqA1kVv8B8v4m6G4wXTI3NOgRMjNUDpMFdL2Al7uoeW4ACMMDIocQPmVFBz7TXg6WGM3oY53LcvR
QyuTzEpZCyJf6jBX7dRTzB/AVcumN02q/DztZVzDqLxW+q1T4DJi+w5xj6hlONK4iHVJmhedT8up
5ETCYnUS5OFXw06/50P2pfUDZNfqCv6MaX4t0Q5P+/Rb7Ujf3BRHRaygNC04bSP/hAbZ9yqzE2QR
rYtSMzCB9ux5wgebDHFgLuloASrJ7pIBdhZGXSPDDtG0iDuMubovgwrYGDn4ha6P9UwN8eHVO4Kh
SLIfCh9VJbBmJ1Ud33TpCAIAgS8jsq+ywHkoKueCDh1CHwWkVdkL67nbdWd23t7KUXrv1tmdWyBV
kKX3tAcokUelN2/SjtPaSi68HAFhuER66H2PVdiYeWzD78ARnGMwu+8U55SGaD1LBpxkchU274Ca
1ILNDq1WsU7qCqqw7gItj2cjN9JiyLqFXHZHnuOsPBzx0LHC2CR8RNTiRsNEEhH228QbkxkB6Rnh
69SRS5qfHeVSVcY0Q+0LE5Og6tR3+p9x6GQzrOyWmezK06akKp/I6jfdM670Gu0/O4hudE/92ahm
S81Q/LnRNAskN28TSm5VRsEFxZ9FU+PvR6IUkmzFdxlK/gs0Vc5U35BxJ7LoS2PfNpF1+mNjtJAt
mEoYni6L2qeCE0FibXK+taRWoWka5qzRiaAKbBdNdAeXbpUfB25SHAnuGjR1qKsUza8syEFdaiya
Qi8ohbg0lSOyIIITSiRjBXeiYcUZFuIR9sgiHiq+w0TNvXlXjtd4lfLU1KYD0S5cubkebe0o6CJt
YqlkVVXhUtWJ8ehrm+iecuqtjYDkxDLzH7KS4S2SudOy63tI7MGKcjvqZJK/knHvnklWlE5lOYMk
Iy8VGdGPSpacFaLiA7pp9mMSFid2n7WTvArzOQzdQ9MbhpnatOncS3q8u40jpLcQL6pJK0yt/lGR
SE7lUqGKOebjRUJV91hPI8IyMBPeYaw6vjaLou6basNKnZdS5QdfmQa3Pldry+vmZmBoC9NN5PTG
gj6TocKdjxq6eLGgLtmJdcElGZgXQ4HlnVb03h3Ux3kVs4Qmuq+7Zzks1LAmnrJpuspUc3yLKMwv
ZOH+afSX2LHiLFUEiFhbrQbtDEufGclTVRw2loyXZxHgUze1ZS3GbnnQ8BiML7PM7IulHGrqbdSR
/JzGMOY5Z2JfmfWmdS97qO6Rmw4lzejOzRxhL60bxTwIVMu7kWsrru5Ut/UAFmujiiGlnJjud8xG
ff1URo5PIg/vm3yDIPr3dWn8Fq/zlXuy2QbYEX/2931pH5iaQMJQdAC0+dpt7em+FNZ7BqrPtFZf
AXb0A+QmIVuizPHUP31Vd9IOIF6rJjUnGYodV+ef3JfiNnx9Wz4Zt2HUDGxIoeGivwPk9TKKvWWZ
cluKi6GEelfhfsOV8iqMuNgM+FprQ3ny+Hv3IAppuo7PILggWX93LSsxlB0z1PMzuTGcL0hUUOdI
sPwaV1TEDGLeOm30Q5wrx2uEBmFPmor+LbQt7y7PQqSqvME5VqwkxyesNPoLf9CutCFrs5k5eNhI
tVFYad9bDnL7onOLtoUHRiOsRYGPRo4Uo8sTV8o8yPNMnWdd3EDKkzCoxcXLTYnwB2cuWsryrErv
jVjvziw9j8+xH8khnuYU+BeZ22tI5pMmxEK+g2wm087lVsh6tHF4XtZRR6sHipXvXGiK/GigBZIW
3sJFG8RCRwOf+6UhRENUmU8BIoQyubtwkrnRJ4fuMBQoNSSBKKTP4qH46WPyNCJHoiBL0mjtNT4K
6FzpZXhnRVk1E4SMU8nKy7OiMsyjOHBo+iToW48qCFNJ0n7qYZWudNfHab4ugDW2qGgHsYTQCbKj
9JLOqrRCG1O1SR6CUV3WqfVlUKRb+E/FDNIf3cu69lSwSxqMKA8VjjnNeWztdDFEjXxlZJZfSr3G
rcW0U/+q8loJbRSlBEMl97c6DWxmEYURFA6acqZL5TALjfGqMGv7yJcU5ez3a0xlk71fy/hy4MQB
DkFAD9gzr2GMxVAWnod+6RmKomtyQeV6vEZZGvBvvUpXLujamTdHeGNezsHgHukLba6u3Om/FFH6
AAOGt0NIiy6yCHYV+x3yHDJy13iVn525qneEr1s/jVBNoGuiQxu3ImdetK62KFWTCw2x2FPPKt0j
he/IjIpkOligyV3cAGx1/F73mbOoVBdplzpfuPb43TLgk4cueCV37L8VcY63WVmg6V+F2oxkWp0o
PuUNw+/ng+YsOwU4hIsgKsY+4O+c1ahRGlXVJZRyZYJgu9DUppWepCu0XGeZplOSkvN513knqgvc
K0oDZYZxA4poYTVjE591JPjLwhPNSs374nXZStGS06a3ZaHivZQjFprlFNCe5fD691/x2xr5M3BW
RsxeRw/I1N6rbDmj2jl54pZncov2HAdBzIeX0yn+j3MjAxGnF/+KZL8dNf3qme++TalvrbLFpeis
8LQ7w8UBmtY3WAlrpSfNaVa4MjIqiJVYwMuMuKopiKTDyYjsxMSWjJMssG/lABWHtpJ+clcv0LCD
t21eyu54b3jF96SD11ygib9pSf37ThZsz1+nsHdZvEUUVPzNy4WMxQ/7EpsexSE/RDnhFYJWPaBF
RI6KYQJmCwI7/oKgtREFNXTAT/T3FGFR+k8Cax9oioaADEQ9ejcksn9yIdPreX+MUYk2dcpMhAyq
bTm8idfHWF12YRqrIdIxNalobtd445Q3tYozYCh8SEacDW+CVomJZJPkuhJ+Jcgp0O0fXeQeMTPx
HGFrUujamdDpmhMz9xwr4aOGBwNYRfxQYKb/cJoOLxPhlRIJ1xTH8/IpcBxr6jRudqNjrlLKxJ41
dist4vvniVdAZRBeLIAB0mWDMsXca3FqqRTlSyK8W2I6/hhH4jGJ7LSGvYuHleGiF44v6JIE57Fw
gSEMQjXK7FYOWtTo6AZfCuEZ4wv3mFr4yEgRl6jCFJxD4XCxKKmdFa1/0bGGLFAnSHZ2OaZbqO06
K/QTYJR71m1W5QTmeUjTq0lOGto1kQPICf41dix4k2HGSc06P5IbHa1wT56rXnsUlRJe6fZXZvM0
y2gByTXXVUYJdJJG/nej1YGLOP0EnYpvXhF9w7grnue+h7S7F1zXOigJ+v8gOFMFeyUPG5+Rm14y
k0fNw8WtT80js1RpY410wbBmgDQvGbjNuugPIgBzxxcdTh0zv84k90yPhx82wGNN+NfqufbgDtWF
VKXtSWQjyl3WUJeLzj7TRocqnzueGRlfaZ33M9Su6TloP1St/DZ20b3kolyS+bhAxv252VHso0JZ
o4YhI+DRqYeofMAnxi5ohnnuOWpE9VRNROMfXFKfAFiCYjQxFP8u98ZLXQd2XFj4o/ajNGnTCKEJ
SthTE0de+1wbSFZ+iL74cGiRmM8t3zsGUztSeFdKvDwNSrC+ZTxKIJGCxga0LA2AKrgjEFYwqK3H
R8iUlhPLoCWmJsqJZhnhJG5bgAOywo1t2MFyMKK5XUDsr6RRvSoNo522dglz2ovuCzXX0fgIhnmQ
DM0cP7sFRRqS6WhkkgnvDiEawv8xgPN0bPApyiMrROCv4jTtWdn6YW871SSPEvkm9VFzcXV9pWRp
jwI3cjgICCcz1e0wDZLTiTa4j8OAxSauWoeRYdyUtUtvLa2nVqRNLcs50ysjPuywuJokXSNPrNg8
lOxSP7fqgYalXdZTfIRMkBH6dRtl2dStjRM56JBlTQcUtSTjqIyb4EgZsuNCj5XDIgv4lmqYttpt
pbjnUuctutHqcR4OljWqu+AqknJZDVSKqQbP7CL+4cfGws5ytjrbJM+tnolNvud+ddRbXX4YSZY9
AzWhnPug/KhRSP4VpVTgwToF+cZ2z9pCwnrKMYGGOSMtlZZ1TogAaLK/HJQKJHiRU4MZRlTFVNVd
yUWtz+0q05eD5zozGS2Qw7xIj0GdI0TmNdpRZXrjUREq0lLPUMnJivzSlKiSj9FwJMnebS4l2oUa
ouXB6RcdSoHuTP0oP5IoSnm9Bwk2zO8KK/R+VimCdz7b+NIKw0cI/bWKXoRGK+3p2vj3/Wlw4fzm
/mx+bEEKi795dX9yfQIEBomLK5Ao5b4UgLlaictkJJuAC1PPfXV/OvyEy5YSsMqvvHEq4moVl6rD
jxRhCPJH96cmvy8A8wwkkUxRbkZQAOGRt/dnXJfojGW9fF6H2S0NSKyhI006VhGQm1DZzi8NjnMB
SnPO+gjxuyxD+6Ou9KMyM1IgRTQ/WX3GSUnnesKOEFYK5rLtmuvY7vPTcpSmeQswoLbvlRa/Ccw0
8ThrXHwGukPHtReBlcuznLpjI6SNU0c0nzvs7tJypQd+ekOWgltant9jcXOcNfmXUsEBTEccZGJ6
xX084LaZVTqd065b9XnfT70x89NLtGeXSqjrF5JmHrtm58zrTnanSSehC6AIBaS4uBjcem013r2b
2N2COxU7niEvDu3UQYo6k65qrCkuHMQtQWD4kDg0KqEutgEzNzD1KT1GxHtc3MF7vaQQpz1UgXnp
G8WZXWORnfvRbaBqN3Xm5DMpVB/zCBCBO3pfSip1Abu+MclMCAZWIMoeOIdToP4+0m39ZSqHQl7r
Lkm943B0bpSQ1MUYQQSXqnyTW6EKBkE/qv28nuLIm6KuYKyHpkJE06pu7a4h30ClZVJQDO10+YK+
noIGZHAZOK0ykRJUp46GAS3GARqBDJ1AhlbAfXrcCp6BFlZXjenQIDRk2HVlUk0taAkhgAUuxxgb
UBDkeAiBPk3B+6D9jE9UtLIzHCyCtLLPHTUflnFqY0ZqhodKWjhwO8tHtWjliTNa3qXURDJtbuPe
UdvorBjUn3FmDLSqzEye+aHqnGECCKE/RZfKjVCTQtkjWqQU+I68KDv3k5KCZmyfd1IGisB0SCuG
DFlNXcNogDp+qZ7lSPNNGw1l6jogT1OaDMyegRpO35LCKc13M/e/RlHUTMsGYIPqp+T3PvOGGxan
ONAQ4NJfLVg1ipv9SDx32SiafqSn0qVi5z91H3ihD+qi6O1pSnY/lesSh6+4OMzN5KivDUR9tPNB
ic6pdvdTJwbdKmfhN7lzvxgJXhW06NDMlKwvZe0h/KeoJ25OPUKykVGkAY1niCxfJUN9JHN5FVF4
FQT4NTbxHRqaP3Csy6ZKpKCOU7Vndhk1s9Ikjc/k9NSwmVxDl47AtkBRlEmIG5wNIbVYJ3Kh3JMr
a7OqHr7lGvJRrYLCQkU1N6sx5RYadxEu4+DF5bMu7n74zPXc1HKXxnpQ0NbJb7U0P3WIhE07W4S+
RtcYE8ha7hZWSWNHirti2lvc1lHYIJoXFYBxUGRMB+OhFtD0AqJWYocnhVuq0yBPoik6qkiQVd/t
sDgmqP6iRONXBQFH3h/Bm25MnM45Lfs0nvGGZ97YdqiLRSjVUD/HYfKqcrTvQ+3k557ux1Pcu/oj
KRqkwywBNZRComqj4hrhmEc/j65sMzWmOQ6JNvButzp0LUYZS99YJZY+R7e1AU4mxcBV1MtQVtOJ
jSsx/YdqnEiZFeHcwyIe7Lidqp4FQkqAf7ssnrl+TIPe6y/xdIcxYcj39qg88/T/P7hnn9/iVp3m
v0mP4qdP9go32fy90vP/6Jde2JTbB/oz4WeSzjc399Mbe5Ke/u048RoHr+YBhqlmY4YNMxSOpvz0
IvmNs9R7/rGkqOoBhWAuT3tT+X41R7+ahd9/wKvH95rYH8f57Zt/34tWiDd2nAT8x+AyiSxnMwkU
Ct9OggweVGMKBAuKZ/0fTwKh19PKExZsBq31/8Xn5wP+swasAyoZ3CAKlm3i9f7j05bALIWGAJ//
6bUPk0Ao+c8sKE+YYIV/23klgPhFZhwa48tHfbMSFBtDOqzZ6UHs6STI7ztUf34mOAdI1aoaAPbN
emBa30wCZ4IMbwfq5aby9n+8HbasBJljbMeVIL5oU6Xl9nwwfpgEBPFtMU36Jn3at0kQC3jnSbCw
k9UB55CqPb24b96vBNUCJg+Zcw/OxW0L4X1t+M93w5OXu4NKgrWZAzb++zkgKIYk+3wR7dtCoHi9
8yToCl73oin8shBYWu8nwURLwuCa3NOVIPSAdjwScMcAkGYBZPvluQhuTYERvZ9HgjjOd54E0AsO
3zSKItu3A8EC3U4LEvW+BowivtlxJdDhER0h8Avv94HMp3+SOdnEUptH7d+RINT/dpwD64CAmJDZ
JtcTry1Ro2PCoCKz2KyUpyfu31TIm7tro+r1d1L2R0kUMFeFQIAu4PY9ITqMRNiKIlzUmfY9nITN
ibXDJIgrQuAsVHqoT68PsYJOWKlrxAp7Gyx8RjptIbREp3MzByIEe3tPcj4IOPLGje9p0+zlehDm
SjueD6aQAhH7ggz16fV+KpQDFKFkYFt7e1t+RmWBuAncj/KcOb9fD+K2tCHd2M/hyf6dDIKXuuNK
0JEhU/Hs0p9XwvsImqQa2y1uVGKr55tkLzeFvHtCxU0BnASXBNb824NBJd+0FWTS9vV0VHYOGSBP
iw6hDlj1/afXD8BvwhQBvvp8VuzlCvjAOv/jdJI5UCzTZEP84kSguEIowaGIX9A+bwZl9yia0jLU
doOc6umTiqLNmz2hGAeklByehNp7PRW7l9zMA41KE+qJv7gsRQmWnxFAbo7jPbwndo8YjAO0ikUU
vfm6t2UUgHkdIAZ7Owm7h9EITJBbgxvc7IkPmwK9TzR7HR00xZ7mEs9Nkh1yCQ1KoZCeM0COPL3e
RwwckgYmnaYl3Ij28qZ4zvR2mQTnQBH5pGU9H4/vE2wV4gc4ZA10zb5Owu6ptXUAktYxbfM5MPiw
EtgvNlAhBeDqPt8RAka+WxhNgq07TzRWc7MpPgRR8oEB3wFDs82z9u+OEAyN3SaBfjUGXUSRz8tB
LP23MQPNKzRzwI5tgvU9nITdC9EmXswbvtfmkngfOAnYHT17cHX7mkyIDGD3lSDsmgmJfjEJBNLc
kzIFyj09Hj9w7/84m4BGr2nwAsFfbibh/R1B3IjQnE15YW/PhM3ltdtFqZoqKrDwNJ5eW7YDmg/Y
gzmbVbd/Z8IHCsufrwT6MjififX+7kTkMOAHFrjXfS0+C8TwjoeBRipJVdU2f1GBR6TCNnBHMZ+b
P3u4BHY/EUXAqJAuc/k9vTj33tyNog1Bb9LmYtjTE1HQjXdcCUwC7GqAG8/1lQ8BI3cjZWl41Pt6
GOibb2eHE5EiE+1XdA3hmG9fCYh7o9mC7sq+ToJwldtxJaBFjkI4p8Lz3bjtWhAKM7K6iaf3NWAU
/nE7TgXlVQBbkCqekQvvp4LjUeXqYLr29GAQtiE7zoFz4MAzoTX3fDC8zxworFBVQSZI2wTo+3dF
CLHRHSdBQ6tJRrz/ucL2scRGvi0oOcrergQhxrrjJNCEgZNEr2FTMthWYuOHMknmJqDc17hJ2728
YnNRgOfRQTI+vT5sClF0EP+jLiteezsVuyfVT0B3y3gyMH8TNnE4KtylnJ7Pxfl9PSN3jyAtGnQy
ND4KKJvX+whS8OFlgIDa3l4Uu6eTFJ8pPet4Xz0t+Y/Hg8JlSavGcfb7eNB3Px4gRlj0ImXlueT4
IZgGCU61jfLDvsaRQnNwx+vCoI6kmhQQ+JzixRn45nwQHRnuU9Bde7spNm9sh4yCjgxoPwi0L2fg
h4uCapuKpr2DXKOY8P2LnvTdQ0hdnH6i6/SL3r3o0jpw5dC0ejk+93MqNt/RbutBAHZAQv+qL6Mc
iLIjRbd9jaafYWe7TIJoRpBfCuW17ScDxyNKbiDw9/V41Hc/Hi360Th7GeavUPG4UGKlAH9i86z9
OxmEMNhud4RANoFKIGx43vhbjkdRmuVg2Nfj8blBsMt2EELAlBGIjH6xHWSqTqqCz/K+1h8/yDv+
eR0elDOpoyb/ii701JGh6GTKf7Ad/gd75m/u8dQP4ocnajLWAU8w9g3l9l/+wgtv9+MAr5iWT3zT
N795M+SPm7E3fEzx3/+1fkiCdBZUdRnc1+pTNPDqpy/RwdOTnv/++SN+fPibh718rpd/XOGQuy7v
ESJ4YsQ+v9GNe+5/x5joPqzf80RFh+Dl38Sz//M/3r7ZV2fB70dHKf3xZSBBxd2QUAXF5p+P+r8d
PFk/ZOXLQK8G5/TYefAJfobb3jjpws5jT9fxuuUrqV7GevXe2fS7j5/FTfXhKyUPoyr0CYOndbn+
a5pV9bZHEMjs/IjZY/zXWVZunX9ihJ3Hn8d/zbKSxfMy1qv5507aefxFiR3JtsE5zHYefBk/punL
OK/e+Gds11WT/Mjih/rj8ALXvPNbP0zyxzJYxy9D/fPuBU529+HTYcukC777zkMfP5Zb5lxAiHYf
Oki9LQeB8hl79WQdbTnDBIti57d9sq6qx21z8hkb9CSr/vrv1HuMH7fNzGds0dP1Awfwyzy8Woif
sUVP12WwbWo+Y4uKsfNs2+ku2Io7f62nj+lDdh9sO70EWPMTxi/vHx9eBvpn3gXdbffBM977yziv
xv6MbXqKG/SWoT9jlzJ0/Vg+DluG/4yderbOtyx00dPeecLPHtv1x9jRwA7wEwY/L9ccAS8Dvfo6
P2OLXsTr+8ctsaOoTu48LRdxk2wL7kR/dufBrwJCxyp42DIzovW58/jX6/uSlCCttyx30Uv7hAek
f00eMbnY9oDP2KrXa/GAMl2XD1sPMgEV+JRPMQsevW0f4jN2rfgQC3bAfVDdb3vGZ2xf8YyjbF00
224r7TP2sHjCSRNUf53/CKp82+f4jM0snnK6rh+3jf8Z+5nx6/Vfk3X5Y70tZhA1889YTzxjipPU
lsNatAs+6wllM74M9s+ZKrpguz/AX2/NCQVUa/fBqWFsnZpP2cxBFQVD1ry8z1cT8yl7OYvX26IH
UfDefWIITLa5+Aqt9d0Hr9eIPcfrpnoZ7NXUfMrWFWWWLfewwDju/O5/a3D8VArbobR1Q4wf1FuC
NlEo3/2t/85Tbue33lAgSrbV5UR9e+f3/nuDn13f/G+sCnYe+tcqzr8feltZ9u/u7sdi7Yu647Y/
e1uLFr9xHz+uy//6fwAAAP//</cx:binary>
              </cx:geoCache>
            </cx:geography>
          </cx:layoutPr>
        </cx:series>
      </cx:plotAreaRegion>
    </cx:plotArea>
    <cx:legend pos="t" align="ctr" overlay="0">
      <cx:spPr>
        <a:solidFill>
          <a:schemeClr val="accent1"/>
        </a:soli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emf"/><Relationship Id="rId7" Type="http://schemas.microsoft.com/office/2014/relationships/chartEx" Target="../charts/chartEx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174625</xdr:colOff>
      <xdr:row>2</xdr:row>
      <xdr:rowOff>142875</xdr:rowOff>
    </xdr:from>
    <xdr:to>
      <xdr:col>9</xdr:col>
      <xdr:colOff>479425</xdr:colOff>
      <xdr:row>17</xdr:row>
      <xdr:rowOff>123825</xdr:rowOff>
    </xdr:to>
    <xdr:graphicFrame macro="">
      <xdr:nvGraphicFramePr>
        <xdr:cNvPr id="3" name="Chart 2">
          <a:extLst>
            <a:ext uri="{FF2B5EF4-FFF2-40B4-BE49-F238E27FC236}">
              <a16:creationId xmlns:a16="http://schemas.microsoft.com/office/drawing/2014/main" id="{1CF51CFD-C7CB-78A9-191E-9568D6307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59690</xdr:colOff>
      <xdr:row>2</xdr:row>
      <xdr:rowOff>23495</xdr:rowOff>
    </xdr:from>
    <xdr:to>
      <xdr:col>13</xdr:col>
      <xdr:colOff>363220</xdr:colOff>
      <xdr:row>17</xdr:row>
      <xdr:rowOff>1905</xdr:rowOff>
    </xdr:to>
    <xdr:graphicFrame macro="">
      <xdr:nvGraphicFramePr>
        <xdr:cNvPr id="5" name="Chart 4">
          <a:extLst>
            <a:ext uri="{FF2B5EF4-FFF2-40B4-BE49-F238E27FC236}">
              <a16:creationId xmlns:a16="http://schemas.microsoft.com/office/drawing/2014/main" id="{6A6D0797-9221-1697-C463-A99391419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512445</xdr:colOff>
      <xdr:row>3</xdr:row>
      <xdr:rowOff>28575</xdr:rowOff>
    </xdr:from>
    <xdr:to>
      <xdr:col>12</xdr:col>
      <xdr:colOff>527685</xdr:colOff>
      <xdr:row>18</xdr:row>
      <xdr:rowOff>9525</xdr:rowOff>
    </xdr:to>
    <xdr:graphicFrame macro="">
      <xdr:nvGraphicFramePr>
        <xdr:cNvPr id="2" name="Chart 1">
          <a:extLst>
            <a:ext uri="{FF2B5EF4-FFF2-40B4-BE49-F238E27FC236}">
              <a16:creationId xmlns:a16="http://schemas.microsoft.com/office/drawing/2014/main" id="{C9F6C293-C7E5-61E0-9AE6-AF6F57353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1219200</xdr:colOff>
      <xdr:row>15</xdr:row>
      <xdr:rowOff>121920</xdr:rowOff>
    </xdr:from>
    <xdr:to>
      <xdr:col>14</xdr:col>
      <xdr:colOff>1082040</xdr:colOff>
      <xdr:row>30</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4CC1B2E-484D-9F4F-F2B5-45E250AF64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776460" y="28651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220980</xdr:colOff>
      <xdr:row>7</xdr:row>
      <xdr:rowOff>83820</xdr:rowOff>
    </xdr:from>
    <xdr:to>
      <xdr:col>11</xdr:col>
      <xdr:colOff>525780</xdr:colOff>
      <xdr:row>22</xdr:row>
      <xdr:rowOff>83820</xdr:rowOff>
    </xdr:to>
    <xdr:graphicFrame macro="">
      <xdr:nvGraphicFramePr>
        <xdr:cNvPr id="2" name="Chart 1">
          <a:extLst>
            <a:ext uri="{FF2B5EF4-FFF2-40B4-BE49-F238E27FC236}">
              <a16:creationId xmlns:a16="http://schemas.microsoft.com/office/drawing/2014/main" id="{36ADDB6E-3992-8BFC-B8C1-2D8A5829A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251460</xdr:colOff>
      <xdr:row>7</xdr:row>
      <xdr:rowOff>76200</xdr:rowOff>
    </xdr:from>
    <xdr:to>
      <xdr:col>14</xdr:col>
      <xdr:colOff>556260</xdr:colOff>
      <xdr:row>22</xdr:row>
      <xdr:rowOff>76200</xdr:rowOff>
    </xdr:to>
    <xdr:graphicFrame macro="">
      <xdr:nvGraphicFramePr>
        <xdr:cNvPr id="2" name="Chart 1">
          <a:extLst>
            <a:ext uri="{FF2B5EF4-FFF2-40B4-BE49-F238E27FC236}">
              <a16:creationId xmlns:a16="http://schemas.microsoft.com/office/drawing/2014/main" id="{80A935D5-EF0E-AADE-BFEC-BF611F5FA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960120</xdr:colOff>
      <xdr:row>12</xdr:row>
      <xdr:rowOff>76200</xdr:rowOff>
    </xdr:from>
    <xdr:to>
      <xdr:col>5</xdr:col>
      <xdr:colOff>403860</xdr:colOff>
      <xdr:row>26</xdr:row>
      <xdr:rowOff>97155</xdr:rowOff>
    </xdr:to>
    <mc:AlternateContent xmlns:mc="http://schemas.openxmlformats.org/markup-compatibility/2006" xmlns:a14="http://schemas.microsoft.com/office/drawing/2010/main">
      <mc:Choice Requires="a14">
        <xdr:graphicFrame macro="">
          <xdr:nvGraphicFramePr>
            <xdr:cNvPr id="3" name="Order Mode">
              <a:extLst>
                <a:ext uri="{FF2B5EF4-FFF2-40B4-BE49-F238E27FC236}">
                  <a16:creationId xmlns:a16="http://schemas.microsoft.com/office/drawing/2014/main" id="{5F5B8C05-4BC2-E0AD-9A7B-EF387A47256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813560" y="2270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662940</xdr:colOff>
      <xdr:row>7</xdr:row>
      <xdr:rowOff>110490</xdr:rowOff>
    </xdr:from>
    <xdr:to>
      <xdr:col>9</xdr:col>
      <xdr:colOff>121920</xdr:colOff>
      <xdr:row>22</xdr:row>
      <xdr:rowOff>110490</xdr:rowOff>
    </xdr:to>
    <xdr:graphicFrame macro="">
      <xdr:nvGraphicFramePr>
        <xdr:cNvPr id="2" name="Chart 1">
          <a:extLst>
            <a:ext uri="{FF2B5EF4-FFF2-40B4-BE49-F238E27FC236}">
              <a16:creationId xmlns:a16="http://schemas.microsoft.com/office/drawing/2014/main" id="{A1510714-29B0-EB55-A455-0973E5F4D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1514818</xdr:colOff>
      <xdr:row>1</xdr:row>
      <xdr:rowOff>10732</xdr:rowOff>
    </xdr:from>
    <xdr:to>
      <xdr:col>32</xdr:col>
      <xdr:colOff>27543</xdr:colOff>
      <xdr:row>93</xdr:row>
      <xdr:rowOff>91806</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740198" y="611746"/>
          <a:ext cx="17230021" cy="16866539"/>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601013</xdr:rowOff>
    </xdr:from>
    <xdr:to>
      <xdr:col>2</xdr:col>
      <xdr:colOff>118057</xdr:colOff>
      <xdr:row>43</xdr:row>
      <xdr:rowOff>42928</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601013"/>
          <a:ext cx="1867437" cy="7705859"/>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128788</xdr:colOff>
      <xdr:row>0</xdr:row>
      <xdr:rowOff>133625</xdr:rowOff>
    </xdr:from>
    <xdr:to>
      <xdr:col>2</xdr:col>
      <xdr:colOff>1</xdr:colOff>
      <xdr:row>0</xdr:row>
      <xdr:rowOff>579548</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8788" y="133625"/>
          <a:ext cx="1620593" cy="445923"/>
        </a:xfrm>
        <a:prstGeom prst="rect">
          <a:avLst/>
        </a:prstGeom>
      </xdr:spPr>
    </xdr:pic>
    <xdr:clientData/>
  </xdr:twoCellAnchor>
  <xdr:twoCellAnchor>
    <xdr:from>
      <xdr:col>0</xdr:col>
      <xdr:colOff>118057</xdr:colOff>
      <xdr:row>5</xdr:row>
      <xdr:rowOff>122493</xdr:rowOff>
    </xdr:from>
    <xdr:to>
      <xdr:col>1</xdr:col>
      <xdr:colOff>887677</xdr:colOff>
      <xdr:row>7</xdr:row>
      <xdr:rowOff>137733</xdr:rowOff>
    </xdr:to>
    <xdr:sp macro="" textlink="Pivots!G4">
      <xdr:nvSpPr>
        <xdr:cNvPr id="5" name="TextBox 4">
          <a:extLst>
            <a:ext uri="{FF2B5EF4-FFF2-40B4-BE49-F238E27FC236}">
              <a16:creationId xmlns:a16="http://schemas.microsoft.com/office/drawing/2014/main" id="{838D952E-3521-99BA-D6D1-88EFCC4484EA}"/>
            </a:ext>
          </a:extLst>
        </xdr:cNvPr>
        <xdr:cNvSpPr txBox="1"/>
      </xdr:nvSpPr>
      <xdr:spPr>
        <a:xfrm>
          <a:off x="118057" y="1453310"/>
          <a:ext cx="995000" cy="380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6222AB-CD94-41FB-A6DB-E93246DB71BD}" type="TxLink">
            <a:rPr lang="en-US" sz="1800" b="1" i="0" u="none" strike="noStrike">
              <a:solidFill>
                <a:schemeClr val="bg2"/>
              </a:solidFill>
              <a:latin typeface="Aptos Narrow"/>
            </a:rPr>
            <a:pPr/>
            <a:t>2400</a:t>
          </a:fld>
          <a:endParaRPr lang="en-IN" sz="1800" b="1">
            <a:solidFill>
              <a:schemeClr val="bg2"/>
            </a:solidFill>
          </a:endParaRPr>
        </a:p>
      </xdr:txBody>
    </xdr:sp>
    <xdr:clientData/>
  </xdr:twoCellAnchor>
  <xdr:twoCellAnchor>
    <xdr:from>
      <xdr:col>0</xdr:col>
      <xdr:colOff>129540</xdr:colOff>
      <xdr:row>10</xdr:row>
      <xdr:rowOff>15240</xdr:rowOff>
    </xdr:from>
    <xdr:to>
      <xdr:col>1</xdr:col>
      <xdr:colOff>899160</xdr:colOff>
      <xdr:row>12</xdr:row>
      <xdr:rowOff>30480</xdr:rowOff>
    </xdr:to>
    <xdr:sp macro="" textlink="Pivots!H4">
      <xdr:nvSpPr>
        <xdr:cNvPr id="6" name="TextBox 5">
          <a:extLst>
            <a:ext uri="{FF2B5EF4-FFF2-40B4-BE49-F238E27FC236}">
              <a16:creationId xmlns:a16="http://schemas.microsoft.com/office/drawing/2014/main" id="{4017F192-B471-4A9C-AF40-BE57B8CB9C3F}"/>
            </a:ext>
          </a:extLst>
        </xdr:cNvPr>
        <xdr:cNvSpPr txBox="1"/>
      </xdr:nvSpPr>
      <xdr:spPr>
        <a:xfrm>
          <a:off x="129540" y="2258310"/>
          <a:ext cx="995000" cy="380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444945-F59C-419F-B586-68A83149707F}" type="TxLink">
            <a:rPr lang="en-US" sz="1800" b="1" i="0" u="none" strike="noStrike">
              <a:solidFill>
                <a:schemeClr val="bg2"/>
              </a:solidFill>
              <a:latin typeface="Aptos Narrow"/>
              <a:ea typeface="+mn-ea"/>
              <a:cs typeface="+mn-cs"/>
            </a:rPr>
            <a:pPr marL="0" indent="0"/>
            <a:t>11997</a:t>
          </a:fld>
          <a:endParaRPr lang="en-IN" sz="1800" b="1" i="0" u="none" strike="noStrike">
            <a:solidFill>
              <a:schemeClr val="bg2"/>
            </a:solidFill>
            <a:latin typeface="Aptos Narrow"/>
            <a:ea typeface="+mn-ea"/>
            <a:cs typeface="+mn-cs"/>
          </a:endParaRPr>
        </a:p>
      </xdr:txBody>
    </xdr:sp>
    <xdr:clientData/>
  </xdr:twoCellAnchor>
  <xdr:twoCellAnchor>
    <xdr:from>
      <xdr:col>0</xdr:col>
      <xdr:colOff>99060</xdr:colOff>
      <xdr:row>14</xdr:row>
      <xdr:rowOff>101600</xdr:rowOff>
    </xdr:from>
    <xdr:to>
      <xdr:col>1</xdr:col>
      <xdr:colOff>990600</xdr:colOff>
      <xdr:row>16</xdr:row>
      <xdr:rowOff>139700</xdr:rowOff>
    </xdr:to>
    <xdr:sp macro="" textlink="Pivots!I4">
      <xdr:nvSpPr>
        <xdr:cNvPr id="7" name="TextBox 6">
          <a:extLst>
            <a:ext uri="{FF2B5EF4-FFF2-40B4-BE49-F238E27FC236}">
              <a16:creationId xmlns:a16="http://schemas.microsoft.com/office/drawing/2014/main" id="{440FF8C2-C746-4FB8-B16C-92A65B6D3135}"/>
            </a:ext>
          </a:extLst>
        </xdr:cNvPr>
        <xdr:cNvSpPr txBox="1"/>
      </xdr:nvSpPr>
      <xdr:spPr>
        <a:xfrm>
          <a:off x="99060" y="2479040"/>
          <a:ext cx="11201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5A54DB-D1F0-42F3-8643-164F0C63193A}" type="TxLink">
            <a:rPr lang="en-US" sz="1800" b="1" i="0" u="none" strike="noStrike">
              <a:solidFill>
                <a:schemeClr val="bg1"/>
              </a:solidFill>
              <a:latin typeface="Aptos Narrow"/>
              <a:ea typeface="+mn-ea"/>
              <a:cs typeface="+mn-cs"/>
            </a:rPr>
            <a:pPr marL="0" indent="0"/>
            <a:t>649019.8</a:t>
          </a:fld>
          <a:endParaRPr lang="en-IN" sz="1800" b="1" i="0" u="none" strike="noStrike">
            <a:solidFill>
              <a:schemeClr val="bg1"/>
            </a:solidFill>
            <a:latin typeface="Aptos Narrow"/>
            <a:ea typeface="+mn-ea"/>
            <a:cs typeface="+mn-cs"/>
          </a:endParaRPr>
        </a:p>
      </xdr:txBody>
    </xdr:sp>
    <xdr:clientData/>
  </xdr:twoCellAnchor>
  <xdr:twoCellAnchor>
    <xdr:from>
      <xdr:col>0</xdr:col>
      <xdr:colOff>114300</xdr:colOff>
      <xdr:row>19</xdr:row>
      <xdr:rowOff>27940</xdr:rowOff>
    </xdr:from>
    <xdr:to>
      <xdr:col>1</xdr:col>
      <xdr:colOff>883920</xdr:colOff>
      <xdr:row>21</xdr:row>
      <xdr:rowOff>43180</xdr:rowOff>
    </xdr:to>
    <xdr:sp macro="" textlink="Pivots!J4">
      <xdr:nvSpPr>
        <xdr:cNvPr id="8" name="TextBox 7">
          <a:extLst>
            <a:ext uri="{FF2B5EF4-FFF2-40B4-BE49-F238E27FC236}">
              <a16:creationId xmlns:a16="http://schemas.microsoft.com/office/drawing/2014/main" id="{4FFF1C8A-7649-4958-8174-7FC03987E4DF}"/>
            </a:ext>
          </a:extLst>
        </xdr:cNvPr>
        <xdr:cNvSpPr txBox="1"/>
      </xdr:nvSpPr>
      <xdr:spPr>
        <a:xfrm>
          <a:off x="114300" y="3319780"/>
          <a:ext cx="9982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0E7489-EBC0-433F-9589-D2D40B852EAD}" type="TxLink">
            <a:rPr lang="en-US" sz="1800" b="1" i="0" u="none" strike="noStrike">
              <a:solidFill>
                <a:schemeClr val="bg1"/>
              </a:solidFill>
              <a:latin typeface="Aptos Narrow"/>
              <a:ea typeface="+mn-ea"/>
              <a:cs typeface="+mn-cs"/>
            </a:rPr>
            <a:pPr marL="0" indent="0"/>
            <a:t>3.962083333</a:t>
          </a:fld>
          <a:endParaRPr lang="en-IN" sz="1800" b="1" i="0" u="none" strike="noStrike">
            <a:solidFill>
              <a:schemeClr val="bg1"/>
            </a:solidFill>
            <a:latin typeface="Aptos Narrow"/>
            <a:ea typeface="+mn-ea"/>
            <a:cs typeface="+mn-cs"/>
          </a:endParaRPr>
        </a:p>
      </xdr:txBody>
    </xdr:sp>
    <xdr:clientData/>
  </xdr:twoCellAnchor>
  <xdr:twoCellAnchor>
    <xdr:from>
      <xdr:col>0</xdr:col>
      <xdr:colOff>106680</xdr:colOff>
      <xdr:row>23</xdr:row>
      <xdr:rowOff>114300</xdr:rowOff>
    </xdr:from>
    <xdr:to>
      <xdr:col>1</xdr:col>
      <xdr:colOff>876300</xdr:colOff>
      <xdr:row>25</xdr:row>
      <xdr:rowOff>129540</xdr:rowOff>
    </xdr:to>
    <xdr:sp macro="" textlink="Pivots!K4">
      <xdr:nvSpPr>
        <xdr:cNvPr id="9" name="TextBox 8">
          <a:extLst>
            <a:ext uri="{FF2B5EF4-FFF2-40B4-BE49-F238E27FC236}">
              <a16:creationId xmlns:a16="http://schemas.microsoft.com/office/drawing/2014/main" id="{4F146D4C-06FD-4936-9C21-A85BEEA1ECDE}"/>
            </a:ext>
          </a:extLst>
        </xdr:cNvPr>
        <xdr:cNvSpPr txBox="1"/>
      </xdr:nvSpPr>
      <xdr:spPr>
        <a:xfrm>
          <a:off x="106680" y="4137660"/>
          <a:ext cx="9982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765318-A2B1-4E1D-A348-58D107EA01E4}" type="TxLink">
            <a:rPr lang="en-US" sz="1800" b="1" i="0" u="none" strike="noStrike">
              <a:solidFill>
                <a:schemeClr val="bg1"/>
              </a:solidFill>
              <a:latin typeface="Aptos Narrow"/>
              <a:ea typeface="+mn-ea"/>
              <a:cs typeface="+mn-cs"/>
            </a:rPr>
            <a:pPr marL="0" indent="0"/>
            <a:t>2.3425</a:t>
          </a:fld>
          <a:endParaRPr lang="en-IN" sz="1800" b="1" i="0" u="none" strike="noStrike">
            <a:solidFill>
              <a:schemeClr val="bg1"/>
            </a:solidFill>
            <a:latin typeface="Aptos Narrow"/>
            <a:ea typeface="+mn-ea"/>
            <a:cs typeface="+mn-cs"/>
          </a:endParaRPr>
        </a:p>
      </xdr:txBody>
    </xdr:sp>
    <xdr:clientData/>
  </xdr:twoCellAnchor>
  <xdr:twoCellAnchor>
    <xdr:from>
      <xdr:col>0</xdr:col>
      <xdr:colOff>83819</xdr:colOff>
      <xdr:row>3</xdr:row>
      <xdr:rowOff>114300</xdr:rowOff>
    </xdr:from>
    <xdr:to>
      <xdr:col>1</xdr:col>
      <xdr:colOff>1277154</xdr:colOff>
      <xdr:row>5</xdr:row>
      <xdr:rowOff>64394</xdr:rowOff>
    </xdr:to>
    <xdr:sp macro="" textlink="">
      <xdr:nvSpPr>
        <xdr:cNvPr id="12" name="Rectangle 11">
          <a:extLst>
            <a:ext uri="{FF2B5EF4-FFF2-40B4-BE49-F238E27FC236}">
              <a16:creationId xmlns:a16="http://schemas.microsoft.com/office/drawing/2014/main" id="{59B88D92-9CB3-F6E6-56B2-A8615C0EE0BF}"/>
            </a:ext>
          </a:extLst>
        </xdr:cNvPr>
        <xdr:cNvSpPr/>
      </xdr:nvSpPr>
      <xdr:spPr>
        <a:xfrm>
          <a:off x="83819" y="1080215"/>
          <a:ext cx="1418715" cy="314996"/>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a:t>
          </a:r>
          <a:r>
            <a:rPr lang="en-IN" sz="1400" b="1"/>
            <a:t>Total Orders</a:t>
          </a:r>
          <a:endParaRPr lang="en-IN" sz="1400" b="1">
            <a:solidFill>
              <a:schemeClr val="accent3">
                <a:lumMod val="60000"/>
                <a:lumOff val="40000"/>
              </a:schemeClr>
            </a:solidFill>
          </a:endParaRPr>
        </a:p>
      </xdr:txBody>
    </xdr:sp>
    <xdr:clientData/>
  </xdr:twoCellAnchor>
  <xdr:twoCellAnchor>
    <xdr:from>
      <xdr:col>0</xdr:col>
      <xdr:colOff>114300</xdr:colOff>
      <xdr:row>7</xdr:row>
      <xdr:rowOff>60960</xdr:rowOff>
    </xdr:from>
    <xdr:to>
      <xdr:col>1</xdr:col>
      <xdr:colOff>944880</xdr:colOff>
      <xdr:row>8</xdr:row>
      <xdr:rowOff>60960</xdr:rowOff>
    </xdr:to>
    <xdr:sp macro="" textlink="">
      <xdr:nvSpPr>
        <xdr:cNvPr id="14" name="Rectangle 13">
          <a:extLst>
            <a:ext uri="{FF2B5EF4-FFF2-40B4-BE49-F238E27FC236}">
              <a16:creationId xmlns:a16="http://schemas.microsoft.com/office/drawing/2014/main" id="{036C9552-911E-447B-AD17-9FCD839A3DFA}"/>
            </a:ext>
          </a:extLst>
        </xdr:cNvPr>
        <xdr:cNvSpPr/>
      </xdr:nvSpPr>
      <xdr:spPr>
        <a:xfrm>
          <a:off x="114300" y="1158240"/>
          <a:ext cx="105918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11</xdr:row>
      <xdr:rowOff>129540</xdr:rowOff>
    </xdr:from>
    <xdr:to>
      <xdr:col>1</xdr:col>
      <xdr:colOff>906780</xdr:colOff>
      <xdr:row>12</xdr:row>
      <xdr:rowOff>129540</xdr:rowOff>
    </xdr:to>
    <xdr:sp macro="" textlink="">
      <xdr:nvSpPr>
        <xdr:cNvPr id="15" name="Rectangle 14">
          <a:extLst>
            <a:ext uri="{FF2B5EF4-FFF2-40B4-BE49-F238E27FC236}">
              <a16:creationId xmlns:a16="http://schemas.microsoft.com/office/drawing/2014/main" id="{CCC0CE81-38B0-4695-A4BB-F3D9DDD91369}"/>
            </a:ext>
          </a:extLst>
        </xdr:cNvPr>
        <xdr:cNvSpPr/>
      </xdr:nvSpPr>
      <xdr:spPr>
        <a:xfrm>
          <a:off x="76200" y="1958340"/>
          <a:ext cx="105918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16</xdr:row>
      <xdr:rowOff>99060</xdr:rowOff>
    </xdr:from>
    <xdr:to>
      <xdr:col>1</xdr:col>
      <xdr:colOff>929640</xdr:colOff>
      <xdr:row>17</xdr:row>
      <xdr:rowOff>99060</xdr:rowOff>
    </xdr:to>
    <xdr:sp macro="" textlink="">
      <xdr:nvSpPr>
        <xdr:cNvPr id="16" name="Rectangle 15">
          <a:extLst>
            <a:ext uri="{FF2B5EF4-FFF2-40B4-BE49-F238E27FC236}">
              <a16:creationId xmlns:a16="http://schemas.microsoft.com/office/drawing/2014/main" id="{EAC7EE45-2162-4A34-B690-6F6A00D4FE22}"/>
            </a:ext>
          </a:extLst>
        </xdr:cNvPr>
        <xdr:cNvSpPr/>
      </xdr:nvSpPr>
      <xdr:spPr>
        <a:xfrm>
          <a:off x="99060" y="2842260"/>
          <a:ext cx="105918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8</xdr:row>
      <xdr:rowOff>17780</xdr:rowOff>
    </xdr:from>
    <xdr:to>
      <xdr:col>1</xdr:col>
      <xdr:colOff>883920</xdr:colOff>
      <xdr:row>9</xdr:row>
      <xdr:rowOff>124460</xdr:rowOff>
    </xdr:to>
    <xdr:sp macro="" textlink="">
      <xdr:nvSpPr>
        <xdr:cNvPr id="18" name="Rectangle 17">
          <a:extLst>
            <a:ext uri="{FF2B5EF4-FFF2-40B4-BE49-F238E27FC236}">
              <a16:creationId xmlns:a16="http://schemas.microsoft.com/office/drawing/2014/main" id="{EAC3F5AC-3BDC-4B0E-8BE8-4BBD98ABC5FB}"/>
            </a:ext>
          </a:extLst>
        </xdr:cNvPr>
        <xdr:cNvSpPr/>
      </xdr:nvSpPr>
      <xdr:spPr>
        <a:xfrm>
          <a:off x="53340" y="1895949"/>
          <a:ext cx="1055960" cy="289131"/>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🛒Quantity</a:t>
          </a:r>
          <a:endParaRPr lang="en-IN" sz="1400" b="1">
            <a:solidFill>
              <a:schemeClr val="accent3">
                <a:lumMod val="60000"/>
                <a:lumOff val="40000"/>
              </a:schemeClr>
            </a:solidFill>
          </a:endParaRPr>
        </a:p>
      </xdr:txBody>
    </xdr:sp>
    <xdr:clientData/>
  </xdr:twoCellAnchor>
  <xdr:twoCellAnchor>
    <xdr:from>
      <xdr:col>0</xdr:col>
      <xdr:colOff>76200</xdr:colOff>
      <xdr:row>12</xdr:row>
      <xdr:rowOff>104140</xdr:rowOff>
    </xdr:from>
    <xdr:to>
      <xdr:col>1</xdr:col>
      <xdr:colOff>1498600</xdr:colOff>
      <xdr:row>14</xdr:row>
      <xdr:rowOff>88900</xdr:rowOff>
    </xdr:to>
    <xdr:sp macro="" textlink="">
      <xdr:nvSpPr>
        <xdr:cNvPr id="19" name="Rectangle 18">
          <a:extLst>
            <a:ext uri="{FF2B5EF4-FFF2-40B4-BE49-F238E27FC236}">
              <a16:creationId xmlns:a16="http://schemas.microsoft.com/office/drawing/2014/main" id="{32EC524E-B805-4C26-BEDB-E35334AD3AAA}"/>
            </a:ext>
          </a:extLst>
        </xdr:cNvPr>
        <xdr:cNvSpPr/>
      </xdr:nvSpPr>
      <xdr:spPr>
        <a:xfrm>
          <a:off x="76200" y="2656840"/>
          <a:ext cx="1651000" cy="34036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a:t>
          </a:r>
          <a:r>
            <a:rPr lang="en-IN" sz="1400" b="1"/>
            <a:t>Total Revenue </a:t>
          </a:r>
          <a:endParaRPr lang="en-IN" sz="1400" b="1">
            <a:solidFill>
              <a:schemeClr val="accent3">
                <a:lumMod val="60000"/>
                <a:lumOff val="40000"/>
              </a:schemeClr>
            </a:solidFill>
          </a:endParaRPr>
        </a:p>
      </xdr:txBody>
    </xdr:sp>
    <xdr:clientData/>
  </xdr:twoCellAnchor>
  <xdr:twoCellAnchor>
    <xdr:from>
      <xdr:col>0</xdr:col>
      <xdr:colOff>60960</xdr:colOff>
      <xdr:row>17</xdr:row>
      <xdr:rowOff>30480</xdr:rowOff>
    </xdr:from>
    <xdr:to>
      <xdr:col>1</xdr:col>
      <xdr:colOff>891540</xdr:colOff>
      <xdr:row>18</xdr:row>
      <xdr:rowOff>137160</xdr:rowOff>
    </xdr:to>
    <xdr:sp macro="" textlink="">
      <xdr:nvSpPr>
        <xdr:cNvPr id="20" name="Rectangle 19">
          <a:extLst>
            <a:ext uri="{FF2B5EF4-FFF2-40B4-BE49-F238E27FC236}">
              <a16:creationId xmlns:a16="http://schemas.microsoft.com/office/drawing/2014/main" id="{9D70AC4B-9B5E-4689-9EA4-73CF15EF22D7}"/>
            </a:ext>
          </a:extLst>
        </xdr:cNvPr>
        <xdr:cNvSpPr/>
      </xdr:nvSpPr>
      <xdr:spPr>
        <a:xfrm>
          <a:off x="60960" y="2956560"/>
          <a:ext cx="1059180" cy="28956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 Rating</a:t>
          </a:r>
          <a:endParaRPr lang="en-IN" sz="1400" b="1">
            <a:solidFill>
              <a:schemeClr val="accent3">
                <a:lumMod val="60000"/>
                <a:lumOff val="40000"/>
              </a:schemeClr>
            </a:solidFill>
          </a:endParaRPr>
        </a:p>
      </xdr:txBody>
    </xdr:sp>
    <xdr:clientData/>
  </xdr:twoCellAnchor>
  <xdr:twoCellAnchor>
    <xdr:from>
      <xdr:col>0</xdr:col>
      <xdr:colOff>38100</xdr:colOff>
      <xdr:row>21</xdr:row>
      <xdr:rowOff>116840</xdr:rowOff>
    </xdr:from>
    <xdr:to>
      <xdr:col>1</xdr:col>
      <xdr:colOff>1417320</xdr:colOff>
      <xdr:row>23</xdr:row>
      <xdr:rowOff>40640</xdr:rowOff>
    </xdr:to>
    <xdr:sp macro="" textlink="">
      <xdr:nvSpPr>
        <xdr:cNvPr id="21" name="Rectangle 20">
          <a:extLst>
            <a:ext uri="{FF2B5EF4-FFF2-40B4-BE49-F238E27FC236}">
              <a16:creationId xmlns:a16="http://schemas.microsoft.com/office/drawing/2014/main" id="{2FAFD3F8-67E4-4A56-83D2-A454F5C63F03}"/>
            </a:ext>
          </a:extLst>
        </xdr:cNvPr>
        <xdr:cNvSpPr/>
      </xdr:nvSpPr>
      <xdr:spPr>
        <a:xfrm>
          <a:off x="38100" y="3774440"/>
          <a:ext cx="1607820" cy="28956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🚚Delivery Days</a:t>
          </a:r>
          <a:endParaRPr lang="en-IN" sz="1400" b="1">
            <a:solidFill>
              <a:schemeClr val="accent3">
                <a:lumMod val="60000"/>
                <a:lumOff val="40000"/>
              </a:schemeClr>
            </a:solidFill>
          </a:endParaRPr>
        </a:p>
      </xdr:txBody>
    </xdr:sp>
    <xdr:clientData/>
  </xdr:twoCellAnchor>
  <xdr:twoCellAnchor>
    <xdr:from>
      <xdr:col>2</xdr:col>
      <xdr:colOff>188784</xdr:colOff>
      <xdr:row>1</xdr:row>
      <xdr:rowOff>29085</xdr:rowOff>
    </xdr:from>
    <xdr:to>
      <xdr:col>11</xdr:col>
      <xdr:colOff>39603</xdr:colOff>
      <xdr:row>16</xdr:row>
      <xdr:rowOff>29084</xdr:rowOff>
    </xdr:to>
    <xdr:graphicFrame macro="">
      <xdr:nvGraphicFramePr>
        <xdr:cNvPr id="22" name="Chart 21">
          <a:extLst>
            <a:ext uri="{FF2B5EF4-FFF2-40B4-BE49-F238E27FC236}">
              <a16:creationId xmlns:a16="http://schemas.microsoft.com/office/drawing/2014/main" id="{76769FCC-BEAF-43B3-B63F-B4BA55D22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171720</xdr:colOff>
          <xdr:row>1</xdr:row>
          <xdr:rowOff>85215</xdr:rowOff>
        </xdr:from>
        <xdr:to>
          <xdr:col>17</xdr:col>
          <xdr:colOff>558085</xdr:colOff>
          <xdr:row>10</xdr:row>
          <xdr:rowOff>118056</xdr:rowOff>
        </xdr:to>
        <xdr:pic>
          <xdr:nvPicPr>
            <xdr:cNvPr id="25" name="Picture 24">
              <a:extLst>
                <a:ext uri="{FF2B5EF4-FFF2-40B4-BE49-F238E27FC236}">
                  <a16:creationId xmlns:a16="http://schemas.microsoft.com/office/drawing/2014/main" id="{995F95D0-DE91-D332-5CCF-3253D6DD4903}"/>
                </a:ext>
              </a:extLst>
            </xdr:cNvPr>
            <xdr:cNvPicPr>
              <a:picLocks noChangeAspect="1" noChangeArrowheads="1"/>
              <a:extLst>
                <a:ext uri="{84589F7E-364E-4C9E-8A38-B11213B215E9}">
                  <a14:cameraTool cellRange="Sheet2!$H$4:$L$9" spid="_x0000_s1081"/>
                </a:ext>
              </a:extLst>
            </xdr:cNvPicPr>
          </xdr:nvPicPr>
          <xdr:blipFill>
            <a:blip xmlns:r="http://schemas.openxmlformats.org/officeDocument/2006/relationships" r:embed="rId3"/>
            <a:srcRect/>
            <a:stretch>
              <a:fillRect/>
            </a:stretch>
          </xdr:blipFill>
          <xdr:spPr bwMode="auto">
            <a:xfrm>
              <a:off x="6654086" y="85215"/>
              <a:ext cx="4056844" cy="167489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289773</xdr:colOff>
      <xdr:row>1</xdr:row>
      <xdr:rowOff>60888</xdr:rowOff>
    </xdr:from>
    <xdr:to>
      <xdr:col>28</xdr:col>
      <xdr:colOff>508688</xdr:colOff>
      <xdr:row>15</xdr:row>
      <xdr:rowOff>177666</xdr:rowOff>
    </xdr:to>
    <xdr:graphicFrame macro="">
      <xdr:nvGraphicFramePr>
        <xdr:cNvPr id="10" name="Chart 9">
          <a:extLst>
            <a:ext uri="{FF2B5EF4-FFF2-40B4-BE49-F238E27FC236}">
              <a16:creationId xmlns:a16="http://schemas.microsoft.com/office/drawing/2014/main" id="{5EAF05AB-1C35-47DD-AA65-93130ADA6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167319</xdr:colOff>
      <xdr:row>16</xdr:row>
      <xdr:rowOff>130237</xdr:rowOff>
    </xdr:from>
    <xdr:to>
      <xdr:col>11</xdr:col>
      <xdr:colOff>16868</xdr:colOff>
      <xdr:row>42</xdr:row>
      <xdr:rowOff>167068</xdr:rowOff>
    </xdr:to>
    <xdr:graphicFrame macro="">
      <xdr:nvGraphicFramePr>
        <xdr:cNvPr id="13" name="Chart 12">
          <a:extLst>
            <a:ext uri="{FF2B5EF4-FFF2-40B4-BE49-F238E27FC236}">
              <a16:creationId xmlns:a16="http://schemas.microsoft.com/office/drawing/2014/main" id="{B76E6FAE-EED4-4710-95B3-0D16D7417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116375</xdr:colOff>
      <xdr:row>33</xdr:row>
      <xdr:rowOff>48957</xdr:rowOff>
    </xdr:from>
    <xdr:to>
      <xdr:col>10</xdr:col>
      <xdr:colOff>543971</xdr:colOff>
      <xdr:row>41</xdr:row>
      <xdr:rowOff>24828</xdr:rowOff>
    </xdr:to>
    <xdr:graphicFrame macro="">
      <xdr:nvGraphicFramePr>
        <xdr:cNvPr id="17" name="Chart 16">
          <a:extLst>
            <a:ext uri="{FF2B5EF4-FFF2-40B4-BE49-F238E27FC236}">
              <a16:creationId xmlns:a16="http://schemas.microsoft.com/office/drawing/2014/main" id="{9CB5D3CE-72A0-4ACE-B1D9-6167A02EC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144658</xdr:colOff>
      <xdr:row>16</xdr:row>
      <xdr:rowOff>97884</xdr:rowOff>
    </xdr:from>
    <xdr:to>
      <xdr:col>18</xdr:col>
      <xdr:colOff>144566</xdr:colOff>
      <xdr:row>43</xdr:row>
      <xdr:rowOff>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0AAED431-AD90-4467-B908-30BC89CE2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21658" y="2841084"/>
              <a:ext cx="4267108" cy="48398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301282</xdr:colOff>
      <xdr:row>16</xdr:row>
      <xdr:rowOff>104219</xdr:rowOff>
    </xdr:from>
    <xdr:to>
      <xdr:col>28</xdr:col>
      <xdr:colOff>472226</xdr:colOff>
      <xdr:row>28</xdr:row>
      <xdr:rowOff>85858</xdr:rowOff>
    </xdr:to>
    <xdr:graphicFrame macro="">
      <xdr:nvGraphicFramePr>
        <xdr:cNvPr id="23" name="Chart 22">
          <a:extLst>
            <a:ext uri="{FF2B5EF4-FFF2-40B4-BE49-F238E27FC236}">
              <a16:creationId xmlns:a16="http://schemas.microsoft.com/office/drawing/2014/main" id="{043C4E61-A090-49A0-8348-87FDD221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330374</xdr:colOff>
      <xdr:row>29</xdr:row>
      <xdr:rowOff>4525</xdr:rowOff>
    </xdr:from>
    <xdr:to>
      <xdr:col>28</xdr:col>
      <xdr:colOff>472225</xdr:colOff>
      <xdr:row>43</xdr:row>
      <xdr:rowOff>32197</xdr:rowOff>
    </xdr:to>
    <xdr:graphicFrame macro="">
      <xdr:nvGraphicFramePr>
        <xdr:cNvPr id="24" name="Chart 23">
          <a:extLst>
            <a:ext uri="{FF2B5EF4-FFF2-40B4-BE49-F238E27FC236}">
              <a16:creationId xmlns:a16="http://schemas.microsoft.com/office/drawing/2014/main" id="{6786ADDD-460C-48E2-97DE-0D5A3F9C9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21465</xdr:colOff>
      <xdr:row>25</xdr:row>
      <xdr:rowOff>174564</xdr:rowOff>
    </xdr:from>
    <xdr:to>
      <xdr:col>2</xdr:col>
      <xdr:colOff>96747</xdr:colOff>
      <xdr:row>40</xdr:row>
      <xdr:rowOff>2784</xdr:rowOff>
    </xdr:to>
    <mc:AlternateContent xmlns:mc="http://schemas.openxmlformats.org/markup-compatibility/2006">
      <mc:Choice xmlns:a14="http://schemas.microsoft.com/office/drawing/2010/main" Requires="a14">
        <xdr:graphicFrame macro="">
          <xdr:nvGraphicFramePr>
            <xdr:cNvPr id="28" name="Order Mode 1">
              <a:extLst>
                <a:ext uri="{FF2B5EF4-FFF2-40B4-BE49-F238E27FC236}">
                  <a16:creationId xmlns:a16="http://schemas.microsoft.com/office/drawing/2014/main" id="{8ABFFAB6-1684-4712-9045-2B7DD48E789E}"/>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21465" y="5038664"/>
              <a:ext cx="1827882" cy="2495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11</xdr:col>
      <xdr:colOff>0</xdr:colOff>
      <xdr:row>9</xdr:row>
      <xdr:rowOff>0</xdr:rowOff>
    </xdr:from>
    <xdr:to>
      <xdr:col>13</xdr:col>
      <xdr:colOff>324130</xdr:colOff>
      <xdr:row>11</xdr:row>
      <xdr:rowOff>76322</xdr:rowOff>
    </xdr:to>
    <xdr:pic>
      <xdr:nvPicPr>
        <xdr:cNvPr id="3" name="Picture 2">
          <a:extLst>
            <a:ext uri="{FF2B5EF4-FFF2-40B4-BE49-F238E27FC236}">
              <a16:creationId xmlns:a16="http://schemas.microsoft.com/office/drawing/2014/main" id="{4506EDB7-7783-45D4-B09E-1287282C6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324600" y="164592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cheranjeevi" refreshedDate="46233.485976620374" createdVersion="8" refreshedVersion="8" minRefreshableVersion="3" recordCount="2400" xr:uid="{4FA5D04F-38CC-4294-8564-55E9554F289C}">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2136906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x v="0"/>
    <x v="0"/>
    <x v="0"/>
    <x v="0"/>
    <x v="0"/>
    <x v="0"/>
    <x v="0"/>
  </r>
  <r>
    <s v="TX500002"/>
    <x v="1"/>
    <x v="1"/>
    <n v="30.6"/>
    <n v="61.2"/>
    <d v="2025-01-01T00:00:00"/>
    <d v="2025-01-03T00:00:00"/>
    <s v="M"/>
    <x v="0"/>
    <x v="0"/>
    <x v="0"/>
    <x v="1"/>
    <x v="1"/>
    <x v="0"/>
    <x v="1"/>
  </r>
  <r>
    <s v="TX500003"/>
    <x v="2"/>
    <x v="2"/>
    <n v="109.4"/>
    <n v="328.20000000000005"/>
    <d v="2025-01-01T00:00:00"/>
    <d v="2025-01-04T00:00:00"/>
    <s v="F"/>
    <x v="0"/>
    <x v="1"/>
    <x v="0"/>
    <x v="2"/>
    <x v="2"/>
    <x v="0"/>
    <x v="2"/>
  </r>
  <r>
    <s v="TX500004"/>
    <x v="3"/>
    <x v="3"/>
    <n v="37.700000000000003"/>
    <n v="263.90000000000003"/>
    <d v="2025-01-01T00:00:00"/>
    <d v="2025-01-02T00:00:00"/>
    <s v="F"/>
    <x v="0"/>
    <x v="0"/>
    <x v="0"/>
    <x v="2"/>
    <x v="3"/>
    <x v="0"/>
    <x v="2"/>
  </r>
  <r>
    <s v="TX500005"/>
    <x v="4"/>
    <x v="2"/>
    <n v="56.7"/>
    <n v="170.10000000000002"/>
    <d v="2025-01-01T00:00:00"/>
    <d v="2025-01-04T00:00:00"/>
    <s v="F"/>
    <x v="0"/>
    <x v="2"/>
    <x v="0"/>
    <x v="3"/>
    <x v="2"/>
    <x v="0"/>
    <x v="2"/>
  </r>
  <r>
    <s v="TX500006"/>
    <x v="1"/>
    <x v="4"/>
    <n v="83.5"/>
    <n v="1002"/>
    <d v="2025-01-01T00:00:00"/>
    <d v="2025-01-04T00:00:00"/>
    <s v="M"/>
    <x v="1"/>
    <x v="0"/>
    <x v="0"/>
    <x v="3"/>
    <x v="2"/>
    <x v="0"/>
    <x v="1"/>
  </r>
  <r>
    <s v="TX500007"/>
    <x v="5"/>
    <x v="0"/>
    <n v="55.3"/>
    <n v="55.3"/>
    <d v="2025-01-01T00:00:00"/>
    <d v="2025-01-02T00:00:00"/>
    <s v="F"/>
    <x v="0"/>
    <x v="0"/>
    <x v="0"/>
    <x v="3"/>
    <x v="3"/>
    <x v="0"/>
    <x v="2"/>
  </r>
  <r>
    <s v="TX500008"/>
    <x v="6"/>
    <x v="1"/>
    <n v="40.299999999999997"/>
    <n v="80.599999999999994"/>
    <d v="2025-01-01T00:00:00"/>
    <d v="2025-01-02T00:00:00"/>
    <s v="M"/>
    <x v="2"/>
    <x v="2"/>
    <x v="0"/>
    <x v="3"/>
    <x v="3"/>
    <x v="0"/>
    <x v="1"/>
  </r>
  <r>
    <s v="TX500009"/>
    <x v="7"/>
    <x v="5"/>
    <n v="35.700000000000003"/>
    <n v="392.70000000000005"/>
    <d v="2025-01-01T00:00:00"/>
    <d v="2025-01-02T00:00:00"/>
    <s v="F"/>
    <x v="0"/>
    <x v="0"/>
    <x v="0"/>
    <x v="3"/>
    <x v="3"/>
    <x v="0"/>
    <x v="2"/>
  </r>
  <r>
    <s v="TX500010"/>
    <x v="8"/>
    <x v="3"/>
    <n v="22.4"/>
    <n v="156.79999999999998"/>
    <d v="2025-01-01T00:00:00"/>
    <d v="2025-01-04T00:00:00"/>
    <s v="M"/>
    <x v="0"/>
    <x v="1"/>
    <x v="0"/>
    <x v="3"/>
    <x v="2"/>
    <x v="0"/>
    <x v="1"/>
  </r>
  <r>
    <s v="TX500011"/>
    <x v="9"/>
    <x v="1"/>
    <n v="54.4"/>
    <n v="108.8"/>
    <d v="2025-01-01T00:00:00"/>
    <d v="2025-01-07T00:00:00"/>
    <s v="F"/>
    <x v="0"/>
    <x v="0"/>
    <x v="0"/>
    <x v="3"/>
    <x v="4"/>
    <x v="0"/>
    <x v="2"/>
  </r>
  <r>
    <s v="TX500012"/>
    <x v="9"/>
    <x v="1"/>
    <n v="49"/>
    <n v="98"/>
    <d v="2025-01-01T00:00:00"/>
    <d v="2025-01-03T00:00:00"/>
    <s v="F"/>
    <x v="2"/>
    <x v="1"/>
    <x v="0"/>
    <x v="3"/>
    <x v="1"/>
    <x v="0"/>
    <x v="2"/>
  </r>
  <r>
    <s v="TX500013"/>
    <x v="5"/>
    <x v="3"/>
    <n v="118.6"/>
    <n v="830.19999999999993"/>
    <d v="2025-01-01T00:00:00"/>
    <d v="2025-01-05T00:00:00"/>
    <s v="F"/>
    <x v="1"/>
    <x v="0"/>
    <x v="0"/>
    <x v="4"/>
    <x v="5"/>
    <x v="0"/>
    <x v="2"/>
  </r>
  <r>
    <s v="TX500014"/>
    <x v="6"/>
    <x v="6"/>
    <n v="88.4"/>
    <n v="2386.8000000000002"/>
    <d v="2025-01-01T00:00:00"/>
    <d v="2025-01-08T00:00:00"/>
    <s v="M"/>
    <x v="3"/>
    <x v="0"/>
    <x v="0"/>
    <x v="5"/>
    <x v="6"/>
    <x v="0"/>
    <x v="1"/>
  </r>
  <r>
    <s v="TX500015"/>
    <x v="10"/>
    <x v="0"/>
    <n v="66.7"/>
    <n v="66.7"/>
    <d v="2025-01-01T00:00:00"/>
    <d v="2025-01-04T00:00:00"/>
    <s v="M"/>
    <x v="0"/>
    <x v="0"/>
    <x v="0"/>
    <x v="6"/>
    <x v="2"/>
    <x v="0"/>
    <x v="1"/>
  </r>
  <r>
    <s v="TX500016"/>
    <x v="9"/>
    <x v="7"/>
    <n v="30.9"/>
    <n v="309"/>
    <d v="2025-01-01T00:00:00"/>
    <d v="2025-01-02T00:00:00"/>
    <s v="M"/>
    <x v="1"/>
    <x v="2"/>
    <x v="0"/>
    <x v="6"/>
    <x v="3"/>
    <x v="0"/>
    <x v="1"/>
  </r>
  <r>
    <s v="TX500017"/>
    <x v="4"/>
    <x v="2"/>
    <n v="31.1"/>
    <n v="93.300000000000011"/>
    <d v="2025-01-01T00:00:00"/>
    <d v="2025-01-02T00:00:00"/>
    <s v="F"/>
    <x v="0"/>
    <x v="1"/>
    <x v="0"/>
    <x v="6"/>
    <x v="3"/>
    <x v="0"/>
    <x v="2"/>
  </r>
  <r>
    <s v="TX500018"/>
    <x v="7"/>
    <x v="2"/>
    <n v="36.6"/>
    <n v="109.80000000000001"/>
    <d v="2025-01-01T00:00:00"/>
    <d v="2025-01-04T00:00:00"/>
    <s v="F"/>
    <x v="0"/>
    <x v="0"/>
    <x v="0"/>
    <x v="7"/>
    <x v="2"/>
    <x v="0"/>
    <x v="2"/>
  </r>
  <r>
    <s v="TX500019"/>
    <x v="6"/>
    <x v="8"/>
    <n v="51.1"/>
    <n v="408.8"/>
    <d v="2025-01-01T00:00:00"/>
    <d v="2025-01-04T00:00:00"/>
    <s v="F"/>
    <x v="2"/>
    <x v="3"/>
    <x v="0"/>
    <x v="7"/>
    <x v="2"/>
    <x v="0"/>
    <x v="2"/>
  </r>
  <r>
    <s v="TX500020"/>
    <x v="9"/>
    <x v="0"/>
    <n v="25.2"/>
    <n v="25.2"/>
    <d v="2025-01-01T00:00:00"/>
    <d v="2025-01-02T00:00:00"/>
    <s v="F"/>
    <x v="1"/>
    <x v="2"/>
    <x v="0"/>
    <x v="8"/>
    <x v="3"/>
    <x v="0"/>
    <x v="2"/>
  </r>
  <r>
    <s v="TX500021"/>
    <x v="9"/>
    <x v="9"/>
    <n v="43.8"/>
    <n v="219"/>
    <d v="2025-01-01T00:00:00"/>
    <d v="2025-01-04T00:00:00"/>
    <s v="F"/>
    <x v="2"/>
    <x v="0"/>
    <x v="0"/>
    <x v="8"/>
    <x v="2"/>
    <x v="0"/>
    <x v="2"/>
  </r>
  <r>
    <s v="TX500022"/>
    <x v="8"/>
    <x v="4"/>
    <n v="46.7"/>
    <n v="560.40000000000009"/>
    <d v="2025-01-01T00:00:00"/>
    <d v="2025-01-02T00:00:00"/>
    <s v="F"/>
    <x v="1"/>
    <x v="1"/>
    <x v="0"/>
    <x v="8"/>
    <x v="3"/>
    <x v="0"/>
    <x v="2"/>
  </r>
  <r>
    <s v="TX500023"/>
    <x v="3"/>
    <x v="10"/>
    <n v="79.900000000000006"/>
    <n v="1518.1000000000001"/>
    <d v="2025-01-01T00:00:00"/>
    <d v="2025-01-02T00:00:00"/>
    <s v="M"/>
    <x v="0"/>
    <x v="2"/>
    <x v="0"/>
    <x v="8"/>
    <x v="3"/>
    <x v="0"/>
    <x v="1"/>
  </r>
  <r>
    <s v="TX500024"/>
    <x v="11"/>
    <x v="8"/>
    <n v="26.4"/>
    <n v="211.2"/>
    <d v="2025-01-01T00:00:00"/>
    <d v="2025-01-02T00:00:00"/>
    <s v="F"/>
    <x v="3"/>
    <x v="0"/>
    <x v="0"/>
    <x v="8"/>
    <x v="3"/>
    <x v="0"/>
    <x v="2"/>
  </r>
  <r>
    <s v="TX500025"/>
    <x v="12"/>
    <x v="8"/>
    <n v="88.8"/>
    <n v="710.4"/>
    <d v="2025-01-01T00:00:00"/>
    <d v="2025-01-02T00:00:00"/>
    <s v="F"/>
    <x v="4"/>
    <x v="0"/>
    <x v="0"/>
    <x v="8"/>
    <x v="3"/>
    <x v="0"/>
    <x v="2"/>
  </r>
  <r>
    <s v="TX500026"/>
    <x v="0"/>
    <x v="7"/>
    <n v="17.5"/>
    <n v="175"/>
    <d v="2025-01-01T00:00:00"/>
    <d v="2025-01-02T00:00:00"/>
    <s v="F"/>
    <x v="2"/>
    <x v="0"/>
    <x v="0"/>
    <x v="9"/>
    <x v="3"/>
    <x v="0"/>
    <x v="2"/>
  </r>
  <r>
    <s v="TX500027"/>
    <x v="1"/>
    <x v="11"/>
    <n v="38.700000000000003"/>
    <n v="348.3"/>
    <d v="2025-01-01T00:00:00"/>
    <d v="2025-01-04T00:00:00"/>
    <s v="M"/>
    <x v="1"/>
    <x v="0"/>
    <x v="0"/>
    <x v="10"/>
    <x v="2"/>
    <x v="0"/>
    <x v="1"/>
  </r>
  <r>
    <s v="TX500028"/>
    <x v="13"/>
    <x v="12"/>
    <n v="57.2"/>
    <n v="228.8"/>
    <d v="2025-01-01T00:00:00"/>
    <d v="2025-01-03T00:00:00"/>
    <s v=""/>
    <x v="1"/>
    <x v="2"/>
    <x v="0"/>
    <x v="11"/>
    <x v="1"/>
    <x v="0"/>
    <x v="0"/>
  </r>
  <r>
    <s v="TX500029"/>
    <x v="6"/>
    <x v="9"/>
    <n v="50.9"/>
    <n v="254.5"/>
    <d v="2025-01-01T00:00:00"/>
    <d v="2025-01-07T00:00:00"/>
    <s v=""/>
    <x v="1"/>
    <x v="2"/>
    <x v="0"/>
    <x v="12"/>
    <x v="4"/>
    <x v="0"/>
    <x v="0"/>
  </r>
  <r>
    <s v="TX500030"/>
    <x v="14"/>
    <x v="3"/>
    <n v="41"/>
    <n v="287"/>
    <d v="2025-01-01T00:00:00"/>
    <d v="2025-01-05T00:00:00"/>
    <s v="F"/>
    <x v="1"/>
    <x v="0"/>
    <x v="0"/>
    <x v="13"/>
    <x v="5"/>
    <x v="0"/>
    <x v="2"/>
  </r>
  <r>
    <s v="TX500031"/>
    <x v="8"/>
    <x v="3"/>
    <n v="19.100000000000001"/>
    <n v="133.70000000000002"/>
    <d v="2025-01-01T00:00:00"/>
    <d v="2025-01-05T00:00:00"/>
    <s v="M"/>
    <x v="0"/>
    <x v="2"/>
    <x v="0"/>
    <x v="14"/>
    <x v="5"/>
    <x v="0"/>
    <x v="1"/>
  </r>
  <r>
    <s v="TX500032"/>
    <x v="2"/>
    <x v="9"/>
    <n v="166.1"/>
    <n v="830.5"/>
    <d v="2025-01-01T00:00:00"/>
    <d v="2025-01-04T00:00:00"/>
    <s v="M"/>
    <x v="0"/>
    <x v="0"/>
    <x v="0"/>
    <x v="15"/>
    <x v="2"/>
    <x v="0"/>
    <x v="1"/>
  </r>
  <r>
    <s v="TX500033"/>
    <x v="4"/>
    <x v="2"/>
    <n v="29.9"/>
    <n v="89.699999999999989"/>
    <d v="2025-01-01T00:00:00"/>
    <d v="2025-01-02T00:00:00"/>
    <s v="M"/>
    <x v="3"/>
    <x v="0"/>
    <x v="0"/>
    <x v="3"/>
    <x v="3"/>
    <x v="0"/>
    <x v="1"/>
  </r>
  <r>
    <s v="TX500034"/>
    <x v="10"/>
    <x v="13"/>
    <n v="21.7"/>
    <n v="130.19999999999999"/>
    <d v="2025-01-01T00:00:00"/>
    <d v="2025-01-03T00:00:00"/>
    <s v="O"/>
    <x v="2"/>
    <x v="2"/>
    <x v="0"/>
    <x v="3"/>
    <x v="1"/>
    <x v="0"/>
    <x v="3"/>
  </r>
  <r>
    <s v="TX500035"/>
    <x v="11"/>
    <x v="1"/>
    <n v="32"/>
    <n v="64"/>
    <d v="2025-01-01T00:00:00"/>
    <d v="2025-01-04T00:00:00"/>
    <s v="M"/>
    <x v="0"/>
    <x v="2"/>
    <x v="0"/>
    <x v="3"/>
    <x v="2"/>
    <x v="0"/>
    <x v="1"/>
  </r>
  <r>
    <s v="TX500036"/>
    <x v="8"/>
    <x v="1"/>
    <n v="15.8"/>
    <n v="31.6"/>
    <d v="2025-01-01T00:00:00"/>
    <d v="2025-01-02T00:00:00"/>
    <s v="M"/>
    <x v="4"/>
    <x v="2"/>
    <x v="0"/>
    <x v="3"/>
    <x v="3"/>
    <x v="0"/>
    <x v="1"/>
  </r>
  <r>
    <s v="TX500037"/>
    <x v="2"/>
    <x v="14"/>
    <n v="203.1"/>
    <n v="3452.7"/>
    <d v="2025-01-01T00:00:00"/>
    <d v="2025-01-05T00:00:00"/>
    <s v="M"/>
    <x v="3"/>
    <x v="1"/>
    <x v="0"/>
    <x v="3"/>
    <x v="5"/>
    <x v="0"/>
    <x v="1"/>
  </r>
  <r>
    <s v="TX500038"/>
    <x v="7"/>
    <x v="15"/>
    <n v="39"/>
    <n v="507"/>
    <d v="2025-01-01T00:00:00"/>
    <d v="2025-01-07T00:00:00"/>
    <s v="M"/>
    <x v="0"/>
    <x v="2"/>
    <x v="0"/>
    <x v="3"/>
    <x v="4"/>
    <x v="0"/>
    <x v="1"/>
  </r>
  <r>
    <s v="TX500039"/>
    <x v="10"/>
    <x v="0"/>
    <n v="26.5"/>
    <n v="26.5"/>
    <d v="2025-01-02T00:00:00"/>
    <d v="2025-01-03T00:00:00"/>
    <s v="M"/>
    <x v="2"/>
    <x v="0"/>
    <x v="0"/>
    <x v="3"/>
    <x v="3"/>
    <x v="0"/>
    <x v="1"/>
  </r>
  <r>
    <s v="TX500040"/>
    <x v="5"/>
    <x v="0"/>
    <n v="43.1"/>
    <n v="43.1"/>
    <d v="2025-01-02T00:00:00"/>
    <d v="2025-01-03T00:00:00"/>
    <s v="F"/>
    <x v="2"/>
    <x v="1"/>
    <x v="0"/>
    <x v="3"/>
    <x v="3"/>
    <x v="0"/>
    <x v="2"/>
  </r>
  <r>
    <s v="TX500041"/>
    <x v="1"/>
    <x v="2"/>
    <n v="139"/>
    <n v="417"/>
    <d v="2025-01-02T00:00:00"/>
    <d v="2025-01-03T00:00:00"/>
    <s v="F"/>
    <x v="4"/>
    <x v="2"/>
    <x v="0"/>
    <x v="3"/>
    <x v="3"/>
    <x v="0"/>
    <x v="2"/>
  </r>
  <r>
    <s v="TX500042"/>
    <x v="12"/>
    <x v="0"/>
    <n v="80.7"/>
    <n v="80.7"/>
    <d v="2025-01-02T00:00:00"/>
    <d v="2025-01-03T00:00:00"/>
    <s v="M"/>
    <x v="0"/>
    <x v="2"/>
    <x v="0"/>
    <x v="16"/>
    <x v="3"/>
    <x v="0"/>
    <x v="1"/>
  </r>
  <r>
    <s v="TX500043"/>
    <x v="4"/>
    <x v="1"/>
    <n v="54.5"/>
    <n v="109"/>
    <d v="2025-01-02T00:00:00"/>
    <d v="2025-01-04T00:00:00"/>
    <s v="M"/>
    <x v="1"/>
    <x v="1"/>
    <x v="0"/>
    <x v="6"/>
    <x v="1"/>
    <x v="0"/>
    <x v="1"/>
  </r>
  <r>
    <s v="TX500044"/>
    <x v="6"/>
    <x v="2"/>
    <n v="68.599999999999994"/>
    <n v="205.79999999999998"/>
    <d v="2025-01-02T00:00:00"/>
    <d v="2025-01-02T00:00:00"/>
    <s v="F"/>
    <x v="0"/>
    <x v="1"/>
    <x v="0"/>
    <x v="8"/>
    <x v="7"/>
    <x v="0"/>
    <x v="2"/>
  </r>
  <r>
    <s v="TX500045"/>
    <x v="2"/>
    <x v="12"/>
    <n v="135.9"/>
    <n v="543.6"/>
    <d v="2025-01-02T00:00:00"/>
    <d v="2025-01-03T00:00:00"/>
    <s v="F"/>
    <x v="2"/>
    <x v="2"/>
    <x v="0"/>
    <x v="8"/>
    <x v="3"/>
    <x v="0"/>
    <x v="2"/>
  </r>
  <r>
    <s v="TX500046"/>
    <x v="2"/>
    <x v="12"/>
    <n v="70.900000000000006"/>
    <n v="283.60000000000002"/>
    <d v="2025-01-02T00:00:00"/>
    <d v="2025-01-03T00:00:00"/>
    <s v="F"/>
    <x v="0"/>
    <x v="0"/>
    <x v="0"/>
    <x v="17"/>
    <x v="3"/>
    <x v="0"/>
    <x v="2"/>
  </r>
  <r>
    <s v="TX500047"/>
    <x v="1"/>
    <x v="9"/>
    <n v="63.7"/>
    <n v="318.5"/>
    <d v="2025-01-02T00:00:00"/>
    <d v="2025-01-03T00:00:00"/>
    <s v="M"/>
    <x v="1"/>
    <x v="1"/>
    <x v="0"/>
    <x v="9"/>
    <x v="3"/>
    <x v="0"/>
    <x v="1"/>
  </r>
  <r>
    <s v="TX500048"/>
    <x v="13"/>
    <x v="0"/>
    <n v="29.7"/>
    <n v="29.7"/>
    <d v="2025-01-02T00:00:00"/>
    <d v="2025-01-04T00:00:00"/>
    <s v="F"/>
    <x v="1"/>
    <x v="0"/>
    <x v="0"/>
    <x v="11"/>
    <x v="1"/>
    <x v="0"/>
    <x v="2"/>
  </r>
  <r>
    <s v="TX500049"/>
    <x v="4"/>
    <x v="2"/>
    <n v="26.8"/>
    <n v="80.400000000000006"/>
    <d v="2025-01-02T00:00:00"/>
    <d v="2025-01-11T00:00:00"/>
    <s v="F"/>
    <x v="1"/>
    <x v="2"/>
    <x v="0"/>
    <x v="11"/>
    <x v="8"/>
    <x v="0"/>
    <x v="2"/>
  </r>
  <r>
    <s v="TX500050"/>
    <x v="14"/>
    <x v="0"/>
    <n v="27"/>
    <n v="27"/>
    <d v="2025-01-02T00:00:00"/>
    <d v="2025-01-04T00:00:00"/>
    <s v="F"/>
    <x v="0"/>
    <x v="0"/>
    <x v="0"/>
    <x v="18"/>
    <x v="1"/>
    <x v="0"/>
    <x v="2"/>
  </r>
  <r>
    <s v="TX500051"/>
    <x v="8"/>
    <x v="0"/>
    <n v="41.4"/>
    <n v="41.4"/>
    <d v="2025-01-02T00:00:00"/>
    <d v="2025-01-03T00:00:00"/>
    <s v="M"/>
    <x v="1"/>
    <x v="2"/>
    <x v="0"/>
    <x v="19"/>
    <x v="3"/>
    <x v="0"/>
    <x v="1"/>
  </r>
  <r>
    <s v="TX500052"/>
    <x v="8"/>
    <x v="1"/>
    <n v="24.3"/>
    <n v="48.6"/>
    <d v="2025-01-02T00:00:00"/>
    <d v="2025-01-05T00:00:00"/>
    <s v="F"/>
    <x v="1"/>
    <x v="0"/>
    <x v="0"/>
    <x v="19"/>
    <x v="2"/>
    <x v="0"/>
    <x v="2"/>
  </r>
  <r>
    <s v="TX500053"/>
    <x v="8"/>
    <x v="2"/>
    <n v="41.7"/>
    <n v="125.10000000000001"/>
    <d v="2025-01-02T00:00:00"/>
    <d v="2025-01-04T00:00:00"/>
    <s v="M"/>
    <x v="0"/>
    <x v="2"/>
    <x v="0"/>
    <x v="20"/>
    <x v="1"/>
    <x v="0"/>
    <x v="1"/>
  </r>
  <r>
    <s v="TX500054"/>
    <x v="0"/>
    <x v="1"/>
    <n v="18"/>
    <n v="36"/>
    <d v="2025-01-02T00:00:00"/>
    <d v="2025-01-03T00:00:00"/>
    <s v="F"/>
    <x v="0"/>
    <x v="2"/>
    <x v="0"/>
    <x v="21"/>
    <x v="3"/>
    <x v="0"/>
    <x v="2"/>
  </r>
  <r>
    <s v="TX500055"/>
    <x v="7"/>
    <x v="2"/>
    <n v="91.3"/>
    <n v="273.89999999999998"/>
    <d v="2025-01-02T00:00:00"/>
    <d v="2025-01-05T00:00:00"/>
    <s v="M"/>
    <x v="2"/>
    <x v="2"/>
    <x v="0"/>
    <x v="3"/>
    <x v="2"/>
    <x v="0"/>
    <x v="1"/>
  </r>
  <r>
    <s v="TX500056"/>
    <x v="8"/>
    <x v="8"/>
    <n v="19.3"/>
    <n v="154.4"/>
    <d v="2025-01-02T00:00:00"/>
    <d v="2025-01-03T00:00:00"/>
    <s v="M"/>
    <x v="0"/>
    <x v="0"/>
    <x v="0"/>
    <x v="3"/>
    <x v="3"/>
    <x v="0"/>
    <x v="1"/>
  </r>
  <r>
    <s v="TX500057"/>
    <x v="12"/>
    <x v="15"/>
    <n v="63.2"/>
    <n v="821.6"/>
    <d v="2025-01-02T00:00:00"/>
    <d v="2025-01-03T00:00:00"/>
    <s v="F"/>
    <x v="0"/>
    <x v="0"/>
    <x v="0"/>
    <x v="3"/>
    <x v="3"/>
    <x v="0"/>
    <x v="2"/>
  </r>
  <r>
    <s v="TX500058"/>
    <x v="10"/>
    <x v="11"/>
    <n v="33.299999999999997"/>
    <n v="299.7"/>
    <d v="2025-01-03T00:00:00"/>
    <d v="2025-01-11T00:00:00"/>
    <s v="F"/>
    <x v="0"/>
    <x v="2"/>
    <x v="0"/>
    <x v="3"/>
    <x v="9"/>
    <x v="0"/>
    <x v="2"/>
  </r>
  <r>
    <s v="TX500059"/>
    <x v="7"/>
    <x v="1"/>
    <n v="64.2"/>
    <n v="128.4"/>
    <d v="2025-01-03T00:00:00"/>
    <d v="2025-01-04T00:00:00"/>
    <s v="M"/>
    <x v="0"/>
    <x v="2"/>
    <x v="0"/>
    <x v="3"/>
    <x v="3"/>
    <x v="0"/>
    <x v="1"/>
  </r>
  <r>
    <s v="TX500060"/>
    <x v="9"/>
    <x v="2"/>
    <n v="23.1"/>
    <n v="69.300000000000011"/>
    <d v="2025-01-03T00:00:00"/>
    <d v="2025-01-06T00:00:00"/>
    <s v="F"/>
    <x v="1"/>
    <x v="2"/>
    <x v="0"/>
    <x v="3"/>
    <x v="2"/>
    <x v="0"/>
    <x v="2"/>
  </r>
  <r>
    <s v="TX500061"/>
    <x v="15"/>
    <x v="1"/>
    <n v="71.099999999999994"/>
    <n v="142.19999999999999"/>
    <d v="2025-01-03T00:00:00"/>
    <d v="2025-01-05T00:00:00"/>
    <s v="F"/>
    <x v="3"/>
    <x v="1"/>
    <x v="0"/>
    <x v="3"/>
    <x v="1"/>
    <x v="0"/>
    <x v="2"/>
  </r>
  <r>
    <s v="TX500062"/>
    <x v="0"/>
    <x v="1"/>
    <n v="11.5"/>
    <n v="23"/>
    <d v="2025-01-03T00:00:00"/>
    <d v="2025-01-04T00:00:00"/>
    <s v="F"/>
    <x v="0"/>
    <x v="0"/>
    <x v="0"/>
    <x v="3"/>
    <x v="3"/>
    <x v="0"/>
    <x v="2"/>
  </r>
  <r>
    <s v="TX500063"/>
    <x v="15"/>
    <x v="10"/>
    <n v="69.2"/>
    <n v="1314.8"/>
    <d v="2025-01-03T00:00:00"/>
    <d v="2025-01-08T00:00:00"/>
    <s v="F"/>
    <x v="0"/>
    <x v="0"/>
    <x v="0"/>
    <x v="3"/>
    <x v="0"/>
    <x v="0"/>
    <x v="2"/>
  </r>
  <r>
    <s v="TX500064"/>
    <x v="0"/>
    <x v="0"/>
    <n v="26.8"/>
    <n v="26.8"/>
    <d v="2025-01-03T00:00:00"/>
    <d v="2025-01-04T00:00:00"/>
    <s v="M"/>
    <x v="2"/>
    <x v="4"/>
    <x v="0"/>
    <x v="3"/>
    <x v="3"/>
    <x v="0"/>
    <x v="1"/>
  </r>
  <r>
    <s v="TX500065"/>
    <x v="16"/>
    <x v="2"/>
    <n v="31.2"/>
    <n v="93.6"/>
    <d v="2025-01-03T00:00:00"/>
    <d v="2025-01-06T00:00:00"/>
    <s v="F"/>
    <x v="0"/>
    <x v="0"/>
    <x v="0"/>
    <x v="3"/>
    <x v="2"/>
    <x v="0"/>
    <x v="2"/>
  </r>
  <r>
    <s v="TX500066"/>
    <x v="12"/>
    <x v="1"/>
    <n v="113.2"/>
    <n v="226.4"/>
    <d v="2025-01-03T00:00:00"/>
    <d v="2025-01-04T00:00:00"/>
    <s v="F"/>
    <x v="4"/>
    <x v="0"/>
    <x v="0"/>
    <x v="3"/>
    <x v="3"/>
    <x v="0"/>
    <x v="2"/>
  </r>
  <r>
    <s v="TX500067"/>
    <x v="10"/>
    <x v="8"/>
    <n v="21"/>
    <n v="168"/>
    <d v="2025-01-03T00:00:00"/>
    <d v="2025-01-04T00:00:00"/>
    <s v="M"/>
    <x v="0"/>
    <x v="0"/>
    <x v="0"/>
    <x v="6"/>
    <x v="3"/>
    <x v="0"/>
    <x v="1"/>
  </r>
  <r>
    <s v="TX500068"/>
    <x v="1"/>
    <x v="1"/>
    <n v="89.1"/>
    <n v="178.2"/>
    <d v="2025-01-03T00:00:00"/>
    <d v="2025-01-04T00:00:00"/>
    <s v="F"/>
    <x v="2"/>
    <x v="2"/>
    <x v="0"/>
    <x v="6"/>
    <x v="3"/>
    <x v="0"/>
    <x v="2"/>
  </r>
  <r>
    <s v="TX500069"/>
    <x v="1"/>
    <x v="0"/>
    <n v="97.7"/>
    <n v="97.7"/>
    <d v="2025-01-03T00:00:00"/>
    <d v="2025-01-05T00:00:00"/>
    <s v="F"/>
    <x v="0"/>
    <x v="1"/>
    <x v="0"/>
    <x v="6"/>
    <x v="1"/>
    <x v="0"/>
    <x v="2"/>
  </r>
  <r>
    <s v="TX500070"/>
    <x v="15"/>
    <x v="12"/>
    <n v="97.7"/>
    <n v="390.8"/>
    <d v="2025-01-03T00:00:00"/>
    <d v="2025-01-05T00:00:00"/>
    <s v="M"/>
    <x v="3"/>
    <x v="0"/>
    <x v="0"/>
    <x v="6"/>
    <x v="1"/>
    <x v="0"/>
    <x v="1"/>
  </r>
  <r>
    <s v="TX500071"/>
    <x v="17"/>
    <x v="2"/>
    <n v="47.4"/>
    <n v="142.19999999999999"/>
    <d v="2025-01-03T00:00:00"/>
    <d v="2025-01-06T00:00:00"/>
    <s v="M"/>
    <x v="3"/>
    <x v="2"/>
    <x v="0"/>
    <x v="8"/>
    <x v="2"/>
    <x v="0"/>
    <x v="1"/>
  </r>
  <r>
    <s v="TX500072"/>
    <x v="7"/>
    <x v="0"/>
    <n v="89.6"/>
    <n v="89.6"/>
    <d v="2025-01-03T00:00:00"/>
    <d v="2025-01-06T00:00:00"/>
    <s v="F"/>
    <x v="0"/>
    <x v="2"/>
    <x v="0"/>
    <x v="8"/>
    <x v="2"/>
    <x v="0"/>
    <x v="2"/>
  </r>
  <r>
    <s v="TX500073"/>
    <x v="10"/>
    <x v="16"/>
    <n v="28.4"/>
    <n v="511.2"/>
    <d v="2025-01-03T00:00:00"/>
    <d v="2025-01-06T00:00:00"/>
    <s v="F"/>
    <x v="3"/>
    <x v="2"/>
    <x v="0"/>
    <x v="17"/>
    <x v="2"/>
    <x v="0"/>
    <x v="2"/>
  </r>
  <r>
    <s v="TX500074"/>
    <x v="0"/>
    <x v="1"/>
    <n v="17.899999999999999"/>
    <n v="35.799999999999997"/>
    <d v="2025-01-03T00:00:00"/>
    <d v="2025-01-04T00:00:00"/>
    <s v="F"/>
    <x v="0"/>
    <x v="2"/>
    <x v="0"/>
    <x v="9"/>
    <x v="3"/>
    <x v="0"/>
    <x v="2"/>
  </r>
  <r>
    <s v="TX500075"/>
    <x v="9"/>
    <x v="1"/>
    <n v="48.4"/>
    <n v="96.8"/>
    <d v="2025-01-03T00:00:00"/>
    <d v="2025-01-06T00:00:00"/>
    <s v="M"/>
    <x v="1"/>
    <x v="0"/>
    <x v="0"/>
    <x v="9"/>
    <x v="2"/>
    <x v="0"/>
    <x v="1"/>
  </r>
  <r>
    <s v="TX500076"/>
    <x v="12"/>
    <x v="12"/>
    <n v="44.4"/>
    <n v="177.6"/>
    <d v="2025-01-03T00:00:00"/>
    <d v="2025-01-04T00:00:00"/>
    <s v="O"/>
    <x v="1"/>
    <x v="1"/>
    <x v="0"/>
    <x v="11"/>
    <x v="3"/>
    <x v="0"/>
    <x v="3"/>
  </r>
  <r>
    <s v="TX500077"/>
    <x v="2"/>
    <x v="8"/>
    <n v="103.7"/>
    <n v="829.6"/>
    <d v="2025-01-03T00:00:00"/>
    <d v="2025-01-04T00:00:00"/>
    <s v="F"/>
    <x v="0"/>
    <x v="1"/>
    <x v="0"/>
    <x v="19"/>
    <x v="3"/>
    <x v="0"/>
    <x v="2"/>
  </r>
  <r>
    <s v="TX500078"/>
    <x v="5"/>
    <x v="12"/>
    <n v="58.6"/>
    <n v="234.4"/>
    <d v="2025-01-03T00:00:00"/>
    <d v="2025-01-05T00:00:00"/>
    <s v="M"/>
    <x v="3"/>
    <x v="0"/>
    <x v="0"/>
    <x v="19"/>
    <x v="1"/>
    <x v="0"/>
    <x v="1"/>
  </r>
  <r>
    <s v="TX500079"/>
    <x v="9"/>
    <x v="12"/>
    <n v="54.8"/>
    <n v="219.2"/>
    <d v="2025-01-03T00:00:00"/>
    <d v="2025-01-07T00:00:00"/>
    <s v="F"/>
    <x v="2"/>
    <x v="1"/>
    <x v="0"/>
    <x v="13"/>
    <x v="5"/>
    <x v="0"/>
    <x v="2"/>
  </r>
  <r>
    <s v="TX500080"/>
    <x v="12"/>
    <x v="2"/>
    <n v="78.8"/>
    <n v="236.39999999999998"/>
    <d v="2025-01-03T00:00:00"/>
    <d v="2025-01-09T00:00:00"/>
    <s v="F"/>
    <x v="4"/>
    <x v="1"/>
    <x v="0"/>
    <x v="21"/>
    <x v="4"/>
    <x v="0"/>
    <x v="2"/>
  </r>
  <r>
    <s v="TX500081"/>
    <x v="18"/>
    <x v="9"/>
    <n v="36.799999999999997"/>
    <n v="184"/>
    <d v="2025-01-03T00:00:00"/>
    <d v="2025-01-06T00:00:00"/>
    <s v="M"/>
    <x v="4"/>
    <x v="1"/>
    <x v="0"/>
    <x v="22"/>
    <x v="2"/>
    <x v="0"/>
    <x v="1"/>
  </r>
  <r>
    <s v="TX500082"/>
    <x v="6"/>
    <x v="13"/>
    <n v="50.6"/>
    <n v="303.60000000000002"/>
    <d v="2025-01-03T00:00:00"/>
    <d v="2025-01-05T00:00:00"/>
    <s v="F"/>
    <x v="3"/>
    <x v="0"/>
    <x v="0"/>
    <x v="3"/>
    <x v="1"/>
    <x v="0"/>
    <x v="2"/>
  </r>
  <r>
    <s v="TX500083"/>
    <x v="15"/>
    <x v="2"/>
    <n v="36.799999999999997"/>
    <n v="110.39999999999999"/>
    <d v="2025-01-03T00:00:00"/>
    <d v="2025-01-03T00:00:00"/>
    <s v="M"/>
    <x v="2"/>
    <x v="1"/>
    <x v="0"/>
    <x v="3"/>
    <x v="7"/>
    <x v="0"/>
    <x v="1"/>
  </r>
  <r>
    <s v="TX500084"/>
    <x v="8"/>
    <x v="11"/>
    <n v="41.8"/>
    <n v="376.2"/>
    <d v="2025-01-04T00:00:00"/>
    <d v="2025-01-10T00:00:00"/>
    <s v="F"/>
    <x v="3"/>
    <x v="0"/>
    <x v="0"/>
    <x v="3"/>
    <x v="4"/>
    <x v="0"/>
    <x v="2"/>
  </r>
  <r>
    <s v="TX500085"/>
    <x v="18"/>
    <x v="0"/>
    <n v="77.3"/>
    <n v="77.3"/>
    <d v="2025-01-04T00:00:00"/>
    <d v="2025-01-05T00:00:00"/>
    <s v="M"/>
    <x v="4"/>
    <x v="4"/>
    <x v="0"/>
    <x v="3"/>
    <x v="3"/>
    <x v="0"/>
    <x v="1"/>
  </r>
  <r>
    <s v="TX500086"/>
    <x v="8"/>
    <x v="12"/>
    <n v="19.8"/>
    <n v="79.2"/>
    <d v="2025-01-04T00:00:00"/>
    <d v="2025-01-10T00:00:00"/>
    <s v="M"/>
    <x v="1"/>
    <x v="2"/>
    <x v="0"/>
    <x v="3"/>
    <x v="4"/>
    <x v="0"/>
    <x v="1"/>
  </r>
  <r>
    <s v="TX500087"/>
    <x v="13"/>
    <x v="12"/>
    <n v="15.5"/>
    <n v="62"/>
    <d v="2025-01-04T00:00:00"/>
    <d v="2025-01-05T00:00:00"/>
    <s v="F"/>
    <x v="1"/>
    <x v="2"/>
    <x v="0"/>
    <x v="3"/>
    <x v="3"/>
    <x v="0"/>
    <x v="2"/>
  </r>
  <r>
    <s v="TX500088"/>
    <x v="12"/>
    <x v="0"/>
    <n v="46.8"/>
    <n v="46.8"/>
    <d v="2025-01-04T00:00:00"/>
    <d v="2025-01-08T00:00:00"/>
    <s v="M"/>
    <x v="0"/>
    <x v="2"/>
    <x v="0"/>
    <x v="3"/>
    <x v="5"/>
    <x v="0"/>
    <x v="1"/>
  </r>
  <r>
    <s v="TX500089"/>
    <x v="9"/>
    <x v="11"/>
    <n v="28.6"/>
    <n v="257.40000000000003"/>
    <d v="2025-01-04T00:00:00"/>
    <d v="2025-01-08T00:00:00"/>
    <s v="M"/>
    <x v="0"/>
    <x v="2"/>
    <x v="0"/>
    <x v="3"/>
    <x v="5"/>
    <x v="0"/>
    <x v="1"/>
  </r>
  <r>
    <s v="TX500090"/>
    <x v="2"/>
    <x v="0"/>
    <n v="97.7"/>
    <n v="97.7"/>
    <d v="2025-01-04T00:00:00"/>
    <d v="2025-01-07T00:00:00"/>
    <s v="F"/>
    <x v="1"/>
    <x v="0"/>
    <x v="0"/>
    <x v="3"/>
    <x v="2"/>
    <x v="0"/>
    <x v="2"/>
  </r>
  <r>
    <s v="TX500091"/>
    <x v="9"/>
    <x v="9"/>
    <n v="54.7"/>
    <n v="273.5"/>
    <d v="2025-01-04T00:00:00"/>
    <d v="2025-01-07T00:00:00"/>
    <s v=""/>
    <x v="0"/>
    <x v="2"/>
    <x v="0"/>
    <x v="23"/>
    <x v="2"/>
    <x v="0"/>
    <x v="0"/>
  </r>
  <r>
    <s v="TX500092"/>
    <x v="2"/>
    <x v="13"/>
    <n v="130.5"/>
    <n v="783"/>
    <d v="2025-01-04T00:00:00"/>
    <d v="2025-01-06T00:00:00"/>
    <s v="F"/>
    <x v="0"/>
    <x v="1"/>
    <x v="0"/>
    <x v="23"/>
    <x v="1"/>
    <x v="0"/>
    <x v="2"/>
  </r>
  <r>
    <s v="TX500093"/>
    <x v="11"/>
    <x v="1"/>
    <n v="50.4"/>
    <n v="100.8"/>
    <d v="2025-01-04T00:00:00"/>
    <d v="2025-01-06T00:00:00"/>
    <s v="M"/>
    <x v="2"/>
    <x v="2"/>
    <x v="0"/>
    <x v="6"/>
    <x v="1"/>
    <x v="0"/>
    <x v="1"/>
  </r>
  <r>
    <s v="TX500094"/>
    <x v="6"/>
    <x v="15"/>
    <n v="61.5"/>
    <n v="799.5"/>
    <d v="2025-01-04T00:00:00"/>
    <d v="2025-01-05T00:00:00"/>
    <s v=""/>
    <x v="3"/>
    <x v="1"/>
    <x v="0"/>
    <x v="11"/>
    <x v="3"/>
    <x v="0"/>
    <x v="0"/>
  </r>
  <r>
    <s v="TX500095"/>
    <x v="9"/>
    <x v="12"/>
    <n v="30.1"/>
    <n v="120.4"/>
    <d v="2025-01-04T00:00:00"/>
    <d v="2025-01-05T00:00:00"/>
    <s v="F"/>
    <x v="0"/>
    <x v="2"/>
    <x v="0"/>
    <x v="21"/>
    <x v="3"/>
    <x v="0"/>
    <x v="2"/>
  </r>
  <r>
    <s v="TX500096"/>
    <x v="2"/>
    <x v="9"/>
    <n v="74.8"/>
    <n v="374"/>
    <d v="2025-01-04T00:00:00"/>
    <d v="2025-01-05T00:00:00"/>
    <s v="F"/>
    <x v="1"/>
    <x v="0"/>
    <x v="0"/>
    <x v="1"/>
    <x v="3"/>
    <x v="0"/>
    <x v="2"/>
  </r>
  <r>
    <s v="TX500097"/>
    <x v="16"/>
    <x v="2"/>
    <n v="64.900000000000006"/>
    <n v="194.70000000000002"/>
    <d v="2025-01-04T00:00:00"/>
    <d v="2025-01-11T00:00:00"/>
    <s v="M"/>
    <x v="0"/>
    <x v="0"/>
    <x v="0"/>
    <x v="2"/>
    <x v="6"/>
    <x v="0"/>
    <x v="1"/>
  </r>
  <r>
    <s v="TX500098"/>
    <x v="9"/>
    <x v="1"/>
    <n v="50.5"/>
    <n v="101"/>
    <d v="2025-01-04T00:00:00"/>
    <d v="2025-01-06T00:00:00"/>
    <s v="M"/>
    <x v="1"/>
    <x v="0"/>
    <x v="0"/>
    <x v="22"/>
    <x v="1"/>
    <x v="0"/>
    <x v="1"/>
  </r>
  <r>
    <s v="TX500099"/>
    <x v="11"/>
    <x v="3"/>
    <n v="63"/>
    <n v="441"/>
    <d v="2025-01-04T00:00:00"/>
    <d v="2025-01-07T00:00:00"/>
    <s v="M"/>
    <x v="3"/>
    <x v="2"/>
    <x v="0"/>
    <x v="3"/>
    <x v="2"/>
    <x v="0"/>
    <x v="1"/>
  </r>
  <r>
    <s v="TX500100"/>
    <x v="2"/>
    <x v="2"/>
    <n v="93.6"/>
    <n v="280.79999999999995"/>
    <d v="2025-01-04T00:00:00"/>
    <d v="2025-01-17T00:00:00"/>
    <s v="F"/>
    <x v="0"/>
    <x v="2"/>
    <x v="0"/>
    <x v="3"/>
    <x v="10"/>
    <x v="0"/>
    <x v="2"/>
  </r>
  <r>
    <s v="TX500101"/>
    <x v="5"/>
    <x v="17"/>
    <n v="41.4"/>
    <n v="1242"/>
    <d v="2025-01-04T00:00:00"/>
    <d v="2025-01-08T00:00:00"/>
    <s v="M"/>
    <x v="2"/>
    <x v="2"/>
    <x v="0"/>
    <x v="3"/>
    <x v="5"/>
    <x v="0"/>
    <x v="1"/>
  </r>
  <r>
    <s v="TX500102"/>
    <x v="2"/>
    <x v="1"/>
    <n v="160"/>
    <n v="320"/>
    <d v="2025-01-05T00:00:00"/>
    <d v="2025-01-06T00:00:00"/>
    <s v="M"/>
    <x v="2"/>
    <x v="2"/>
    <x v="0"/>
    <x v="5"/>
    <x v="3"/>
    <x v="1"/>
    <x v="1"/>
  </r>
  <r>
    <s v="TX500103"/>
    <x v="19"/>
    <x v="5"/>
    <n v="10.5"/>
    <n v="115.5"/>
    <d v="2025-01-05T00:00:00"/>
    <d v="2025-01-08T00:00:00"/>
    <s v="F"/>
    <x v="4"/>
    <x v="0"/>
    <x v="0"/>
    <x v="8"/>
    <x v="2"/>
    <x v="1"/>
    <x v="2"/>
  </r>
  <r>
    <s v="TX500104"/>
    <x v="10"/>
    <x v="1"/>
    <n v="53"/>
    <n v="106"/>
    <d v="2025-01-05T00:00:00"/>
    <d v="2025-01-05T00:00:00"/>
    <s v="M"/>
    <x v="2"/>
    <x v="4"/>
    <x v="0"/>
    <x v="17"/>
    <x v="7"/>
    <x v="1"/>
    <x v="1"/>
  </r>
  <r>
    <s v="TX500105"/>
    <x v="8"/>
    <x v="2"/>
    <n v="18.5"/>
    <n v="55.5"/>
    <d v="2025-01-05T00:00:00"/>
    <d v="2025-01-10T00:00:00"/>
    <s v="F"/>
    <x v="1"/>
    <x v="2"/>
    <x v="0"/>
    <x v="11"/>
    <x v="0"/>
    <x v="1"/>
    <x v="2"/>
  </r>
  <r>
    <s v="TX500106"/>
    <x v="16"/>
    <x v="2"/>
    <n v="84.5"/>
    <n v="253.5"/>
    <d v="2025-01-05T00:00:00"/>
    <d v="2025-01-07T00:00:00"/>
    <s v="F"/>
    <x v="4"/>
    <x v="1"/>
    <x v="0"/>
    <x v="13"/>
    <x v="1"/>
    <x v="1"/>
    <x v="2"/>
  </r>
  <r>
    <s v="TX500107"/>
    <x v="15"/>
    <x v="3"/>
    <n v="31.2"/>
    <n v="218.4"/>
    <d v="2025-01-05T00:00:00"/>
    <d v="2025-01-05T00:00:00"/>
    <s v="F"/>
    <x v="2"/>
    <x v="2"/>
    <x v="0"/>
    <x v="3"/>
    <x v="7"/>
    <x v="1"/>
    <x v="2"/>
  </r>
  <r>
    <s v="TX500108"/>
    <x v="8"/>
    <x v="16"/>
    <n v="32.6"/>
    <n v="586.80000000000007"/>
    <d v="2025-01-05T00:00:00"/>
    <d v="2025-01-06T00:00:00"/>
    <s v="M"/>
    <x v="1"/>
    <x v="1"/>
    <x v="0"/>
    <x v="3"/>
    <x v="3"/>
    <x v="1"/>
    <x v="1"/>
  </r>
  <r>
    <s v="TX500109"/>
    <x v="10"/>
    <x v="12"/>
    <n v="45.4"/>
    <n v="181.6"/>
    <d v="2025-01-05T00:00:00"/>
    <d v="2025-01-07T00:00:00"/>
    <s v="M"/>
    <x v="1"/>
    <x v="0"/>
    <x v="0"/>
    <x v="3"/>
    <x v="1"/>
    <x v="1"/>
    <x v="1"/>
  </r>
  <r>
    <s v="TX500110"/>
    <x v="2"/>
    <x v="4"/>
    <n v="120"/>
    <n v="1440"/>
    <d v="2025-01-05T00:00:00"/>
    <d v="2025-01-06T00:00:00"/>
    <s v="F"/>
    <x v="2"/>
    <x v="4"/>
    <x v="0"/>
    <x v="3"/>
    <x v="3"/>
    <x v="1"/>
    <x v="2"/>
  </r>
  <r>
    <s v="TX500111"/>
    <x v="0"/>
    <x v="12"/>
    <n v="18.899999999999999"/>
    <n v="75.599999999999994"/>
    <d v="2025-01-05T00:00:00"/>
    <d v="2025-01-07T00:00:00"/>
    <s v="M"/>
    <x v="0"/>
    <x v="2"/>
    <x v="0"/>
    <x v="3"/>
    <x v="1"/>
    <x v="1"/>
    <x v="1"/>
  </r>
  <r>
    <s v="TX500112"/>
    <x v="4"/>
    <x v="0"/>
    <n v="32"/>
    <n v="32"/>
    <d v="2025-01-05T00:00:00"/>
    <d v="2025-01-07T00:00:00"/>
    <s v="F"/>
    <x v="4"/>
    <x v="0"/>
    <x v="0"/>
    <x v="3"/>
    <x v="1"/>
    <x v="1"/>
    <x v="2"/>
  </r>
  <r>
    <s v="TX500113"/>
    <x v="7"/>
    <x v="1"/>
    <n v="37.299999999999997"/>
    <n v="74.599999999999994"/>
    <d v="2025-01-05T00:00:00"/>
    <d v="2025-01-06T00:00:00"/>
    <s v="M"/>
    <x v="2"/>
    <x v="0"/>
    <x v="0"/>
    <x v="3"/>
    <x v="3"/>
    <x v="1"/>
    <x v="1"/>
  </r>
  <r>
    <s v="TX500114"/>
    <x v="18"/>
    <x v="0"/>
    <n v="119.8"/>
    <n v="119.8"/>
    <d v="2025-01-05T00:00:00"/>
    <d v="2025-01-06T00:00:00"/>
    <s v="M"/>
    <x v="1"/>
    <x v="1"/>
    <x v="0"/>
    <x v="3"/>
    <x v="3"/>
    <x v="1"/>
    <x v="1"/>
  </r>
  <r>
    <s v="TX500115"/>
    <x v="10"/>
    <x v="1"/>
    <n v="26.4"/>
    <n v="52.8"/>
    <d v="2025-01-05T00:00:00"/>
    <d v="2025-01-08T00:00:00"/>
    <s v="M"/>
    <x v="2"/>
    <x v="0"/>
    <x v="0"/>
    <x v="3"/>
    <x v="2"/>
    <x v="1"/>
    <x v="1"/>
  </r>
  <r>
    <s v="TX500116"/>
    <x v="6"/>
    <x v="13"/>
    <n v="76.5"/>
    <n v="459"/>
    <d v="2025-01-05T00:00:00"/>
    <d v="2025-01-06T00:00:00"/>
    <s v="F"/>
    <x v="1"/>
    <x v="1"/>
    <x v="0"/>
    <x v="3"/>
    <x v="3"/>
    <x v="1"/>
    <x v="2"/>
  </r>
  <r>
    <s v="TX500117"/>
    <x v="4"/>
    <x v="7"/>
    <n v="45.7"/>
    <n v="457"/>
    <d v="2025-01-05T00:00:00"/>
    <d v="2025-01-06T00:00:00"/>
    <s v="F"/>
    <x v="2"/>
    <x v="0"/>
    <x v="0"/>
    <x v="24"/>
    <x v="3"/>
    <x v="1"/>
    <x v="2"/>
  </r>
  <r>
    <s v="TX500118"/>
    <x v="1"/>
    <x v="4"/>
    <n v="92.6"/>
    <n v="1111.1999999999998"/>
    <d v="2025-01-05T00:00:00"/>
    <d v="2025-01-07T00:00:00"/>
    <s v="F"/>
    <x v="2"/>
    <x v="0"/>
    <x v="0"/>
    <x v="25"/>
    <x v="1"/>
    <x v="1"/>
    <x v="2"/>
  </r>
  <r>
    <s v="TX500119"/>
    <x v="6"/>
    <x v="13"/>
    <n v="60.1"/>
    <n v="360.6"/>
    <d v="2025-01-05T00:00:00"/>
    <d v="2025-01-06T00:00:00"/>
    <s v="M"/>
    <x v="1"/>
    <x v="0"/>
    <x v="0"/>
    <x v="23"/>
    <x v="3"/>
    <x v="1"/>
    <x v="1"/>
  </r>
  <r>
    <s v="TX500120"/>
    <x v="1"/>
    <x v="2"/>
    <n v="73"/>
    <n v="219"/>
    <d v="2025-01-05T00:00:00"/>
    <d v="2025-01-06T00:00:00"/>
    <s v="F"/>
    <x v="3"/>
    <x v="1"/>
    <x v="0"/>
    <x v="6"/>
    <x v="3"/>
    <x v="1"/>
    <x v="2"/>
  </r>
  <r>
    <s v="TX500121"/>
    <x v="6"/>
    <x v="2"/>
    <n v="44.3"/>
    <n v="132.89999999999998"/>
    <d v="2025-01-05T00:00:00"/>
    <d v="2025-01-09T00:00:00"/>
    <s v=""/>
    <x v="2"/>
    <x v="2"/>
    <x v="0"/>
    <x v="6"/>
    <x v="5"/>
    <x v="1"/>
    <x v="0"/>
  </r>
  <r>
    <s v="TX500122"/>
    <x v="6"/>
    <x v="2"/>
    <n v="63.3"/>
    <n v="189.89999999999998"/>
    <d v="2025-01-05T00:00:00"/>
    <d v="2025-01-06T00:00:00"/>
    <s v="M"/>
    <x v="2"/>
    <x v="0"/>
    <x v="0"/>
    <x v="6"/>
    <x v="3"/>
    <x v="1"/>
    <x v="1"/>
  </r>
  <r>
    <s v="TX500123"/>
    <x v="12"/>
    <x v="0"/>
    <n v="66.8"/>
    <n v="66.8"/>
    <d v="2025-01-05T00:00:00"/>
    <d v="2025-01-06T00:00:00"/>
    <s v="F"/>
    <x v="1"/>
    <x v="0"/>
    <x v="0"/>
    <x v="6"/>
    <x v="3"/>
    <x v="1"/>
    <x v="2"/>
  </r>
  <r>
    <s v="TX500124"/>
    <x v="2"/>
    <x v="1"/>
    <n v="59.7"/>
    <n v="119.4"/>
    <d v="2025-01-05T00:00:00"/>
    <d v="2025-01-06T00:00:00"/>
    <s v="F"/>
    <x v="0"/>
    <x v="0"/>
    <x v="0"/>
    <x v="7"/>
    <x v="3"/>
    <x v="1"/>
    <x v="2"/>
  </r>
  <r>
    <s v="TX500125"/>
    <x v="1"/>
    <x v="13"/>
    <n v="92"/>
    <n v="552"/>
    <d v="2025-01-05T00:00:00"/>
    <d v="2025-01-07T00:00:00"/>
    <s v="M"/>
    <x v="0"/>
    <x v="4"/>
    <x v="0"/>
    <x v="7"/>
    <x v="1"/>
    <x v="1"/>
    <x v="1"/>
  </r>
  <r>
    <s v="TX500126"/>
    <x v="7"/>
    <x v="1"/>
    <n v="87.6"/>
    <n v="175.2"/>
    <d v="2025-01-05T00:00:00"/>
    <d v="2025-01-07T00:00:00"/>
    <s v="M"/>
    <x v="1"/>
    <x v="1"/>
    <x v="0"/>
    <x v="8"/>
    <x v="1"/>
    <x v="1"/>
    <x v="1"/>
  </r>
  <r>
    <s v="TX500127"/>
    <x v="6"/>
    <x v="2"/>
    <n v="84.5"/>
    <n v="253.5"/>
    <d v="2025-01-05T00:00:00"/>
    <d v="2025-01-06T00:00:00"/>
    <s v="F"/>
    <x v="1"/>
    <x v="1"/>
    <x v="0"/>
    <x v="8"/>
    <x v="3"/>
    <x v="1"/>
    <x v="2"/>
  </r>
  <r>
    <s v="TX500128"/>
    <x v="1"/>
    <x v="1"/>
    <n v="116.3"/>
    <n v="232.6"/>
    <d v="2025-01-06T00:00:00"/>
    <d v="2025-01-08T00:00:00"/>
    <s v="M"/>
    <x v="2"/>
    <x v="2"/>
    <x v="0"/>
    <x v="8"/>
    <x v="1"/>
    <x v="1"/>
    <x v="1"/>
  </r>
  <r>
    <s v="TX500129"/>
    <x v="6"/>
    <x v="9"/>
    <n v="52.7"/>
    <n v="263.5"/>
    <d v="2025-01-06T00:00:00"/>
    <d v="2025-01-10T00:00:00"/>
    <s v="M"/>
    <x v="0"/>
    <x v="0"/>
    <x v="0"/>
    <x v="8"/>
    <x v="5"/>
    <x v="1"/>
    <x v="1"/>
  </r>
  <r>
    <s v="TX500130"/>
    <x v="16"/>
    <x v="2"/>
    <n v="34.200000000000003"/>
    <n v="102.60000000000001"/>
    <d v="2025-01-06T00:00:00"/>
    <d v="2025-01-07T00:00:00"/>
    <s v="M"/>
    <x v="0"/>
    <x v="2"/>
    <x v="0"/>
    <x v="26"/>
    <x v="3"/>
    <x v="1"/>
    <x v="1"/>
  </r>
  <r>
    <s v="TX500131"/>
    <x v="9"/>
    <x v="0"/>
    <n v="23.3"/>
    <n v="23.3"/>
    <d v="2025-01-06T00:00:00"/>
    <d v="2025-01-15T00:00:00"/>
    <s v="O"/>
    <x v="2"/>
    <x v="2"/>
    <x v="0"/>
    <x v="9"/>
    <x v="8"/>
    <x v="1"/>
    <x v="3"/>
  </r>
  <r>
    <s v="TX500132"/>
    <x v="0"/>
    <x v="18"/>
    <n v="25.9"/>
    <n v="673.4"/>
    <d v="2025-01-06T00:00:00"/>
    <d v="2025-01-09T00:00:00"/>
    <s v="F"/>
    <x v="4"/>
    <x v="1"/>
    <x v="0"/>
    <x v="9"/>
    <x v="2"/>
    <x v="1"/>
    <x v="2"/>
  </r>
  <r>
    <s v="TX500133"/>
    <x v="6"/>
    <x v="19"/>
    <n v="54.9"/>
    <n v="1592.1"/>
    <d v="2025-01-06T00:00:00"/>
    <d v="2025-01-07T00:00:00"/>
    <s v="M"/>
    <x v="1"/>
    <x v="2"/>
    <x v="0"/>
    <x v="9"/>
    <x v="3"/>
    <x v="1"/>
    <x v="1"/>
  </r>
  <r>
    <s v="TX500134"/>
    <x v="5"/>
    <x v="2"/>
    <n v="75.8"/>
    <n v="227.39999999999998"/>
    <d v="2025-01-06T00:00:00"/>
    <d v="2025-01-11T00:00:00"/>
    <s v="O"/>
    <x v="1"/>
    <x v="0"/>
    <x v="0"/>
    <x v="18"/>
    <x v="0"/>
    <x v="1"/>
    <x v="3"/>
  </r>
  <r>
    <s v="TX500135"/>
    <x v="1"/>
    <x v="11"/>
    <n v="44.9"/>
    <n v="404.09999999999997"/>
    <d v="2025-01-06T00:00:00"/>
    <d v="2025-01-09T00:00:00"/>
    <s v="F"/>
    <x v="2"/>
    <x v="2"/>
    <x v="0"/>
    <x v="2"/>
    <x v="2"/>
    <x v="1"/>
    <x v="2"/>
  </r>
  <r>
    <s v="TX500136"/>
    <x v="11"/>
    <x v="1"/>
    <n v="48.8"/>
    <n v="97.6"/>
    <d v="2025-01-06T00:00:00"/>
    <d v="2025-01-08T00:00:00"/>
    <s v="F"/>
    <x v="3"/>
    <x v="0"/>
    <x v="0"/>
    <x v="27"/>
    <x v="1"/>
    <x v="1"/>
    <x v="2"/>
  </r>
  <r>
    <s v="TX500137"/>
    <x v="15"/>
    <x v="0"/>
    <n v="20.3"/>
    <n v="20.3"/>
    <d v="2025-01-06T00:00:00"/>
    <d v="2025-01-07T00:00:00"/>
    <s v="F"/>
    <x v="0"/>
    <x v="2"/>
    <x v="0"/>
    <x v="22"/>
    <x v="3"/>
    <x v="1"/>
    <x v="2"/>
  </r>
  <r>
    <s v="TX500138"/>
    <x v="5"/>
    <x v="3"/>
    <n v="36.4"/>
    <n v="254.79999999999998"/>
    <d v="2025-01-06T00:00:00"/>
    <d v="2025-01-09T00:00:00"/>
    <s v="F"/>
    <x v="0"/>
    <x v="1"/>
    <x v="0"/>
    <x v="3"/>
    <x v="2"/>
    <x v="1"/>
    <x v="2"/>
  </r>
  <r>
    <s v="TX500139"/>
    <x v="0"/>
    <x v="0"/>
    <n v="19"/>
    <n v="19"/>
    <d v="2025-01-06T00:00:00"/>
    <d v="2025-01-11T00:00:00"/>
    <s v="F"/>
    <x v="1"/>
    <x v="2"/>
    <x v="0"/>
    <x v="3"/>
    <x v="0"/>
    <x v="1"/>
    <x v="2"/>
  </r>
  <r>
    <s v="TX500140"/>
    <x v="8"/>
    <x v="0"/>
    <n v="17.8"/>
    <n v="17.8"/>
    <d v="2025-01-06T00:00:00"/>
    <d v="2025-01-06T00:00:00"/>
    <s v="M"/>
    <x v="0"/>
    <x v="0"/>
    <x v="0"/>
    <x v="3"/>
    <x v="7"/>
    <x v="1"/>
    <x v="1"/>
  </r>
  <r>
    <s v="TX500141"/>
    <x v="2"/>
    <x v="13"/>
    <n v="139.6"/>
    <n v="837.59999999999991"/>
    <d v="2025-01-06T00:00:00"/>
    <d v="2025-01-09T00:00:00"/>
    <s v="M"/>
    <x v="0"/>
    <x v="0"/>
    <x v="0"/>
    <x v="3"/>
    <x v="2"/>
    <x v="1"/>
    <x v="1"/>
  </r>
  <r>
    <s v="TX500142"/>
    <x v="9"/>
    <x v="0"/>
    <n v="31.7"/>
    <n v="31.7"/>
    <d v="2025-01-06T00:00:00"/>
    <d v="2025-01-06T00:00:00"/>
    <s v=""/>
    <x v="0"/>
    <x v="0"/>
    <x v="0"/>
    <x v="3"/>
    <x v="7"/>
    <x v="1"/>
    <x v="0"/>
  </r>
  <r>
    <s v="TX500143"/>
    <x v="8"/>
    <x v="8"/>
    <n v="26.3"/>
    <n v="210.4"/>
    <d v="2025-01-06T00:00:00"/>
    <d v="2025-01-09T00:00:00"/>
    <s v="F"/>
    <x v="4"/>
    <x v="4"/>
    <x v="0"/>
    <x v="3"/>
    <x v="2"/>
    <x v="1"/>
    <x v="2"/>
  </r>
  <r>
    <s v="TX500144"/>
    <x v="4"/>
    <x v="1"/>
    <n v="47.8"/>
    <n v="95.6"/>
    <d v="2025-01-06T00:00:00"/>
    <d v="2025-01-07T00:00:00"/>
    <s v=""/>
    <x v="0"/>
    <x v="0"/>
    <x v="0"/>
    <x v="3"/>
    <x v="3"/>
    <x v="1"/>
    <x v="0"/>
  </r>
  <r>
    <s v="TX500145"/>
    <x v="9"/>
    <x v="2"/>
    <n v="69.400000000000006"/>
    <n v="208.20000000000002"/>
    <d v="2025-01-06T00:00:00"/>
    <d v="2025-01-10T00:00:00"/>
    <s v="F"/>
    <x v="0"/>
    <x v="0"/>
    <x v="0"/>
    <x v="3"/>
    <x v="5"/>
    <x v="1"/>
    <x v="2"/>
  </r>
  <r>
    <s v="TX500146"/>
    <x v="18"/>
    <x v="4"/>
    <n v="25.8"/>
    <n v="309.60000000000002"/>
    <d v="2025-01-06T00:00:00"/>
    <d v="2025-01-07T00:00:00"/>
    <s v="M"/>
    <x v="4"/>
    <x v="4"/>
    <x v="0"/>
    <x v="3"/>
    <x v="3"/>
    <x v="1"/>
    <x v="1"/>
  </r>
  <r>
    <s v="TX500147"/>
    <x v="0"/>
    <x v="12"/>
    <n v="26.4"/>
    <n v="105.6"/>
    <d v="2025-01-06T00:00:00"/>
    <d v="2025-01-07T00:00:00"/>
    <s v="M"/>
    <x v="1"/>
    <x v="2"/>
    <x v="0"/>
    <x v="3"/>
    <x v="3"/>
    <x v="1"/>
    <x v="1"/>
  </r>
  <r>
    <s v="TX500148"/>
    <x v="8"/>
    <x v="12"/>
    <n v="15.7"/>
    <n v="62.8"/>
    <d v="2025-01-06T00:00:00"/>
    <d v="2025-01-07T00:00:00"/>
    <s v="M"/>
    <x v="2"/>
    <x v="0"/>
    <x v="0"/>
    <x v="3"/>
    <x v="3"/>
    <x v="1"/>
    <x v="1"/>
  </r>
  <r>
    <s v="TX500149"/>
    <x v="8"/>
    <x v="0"/>
    <n v="39.700000000000003"/>
    <n v="39.700000000000003"/>
    <d v="2025-01-06T00:00:00"/>
    <d v="2025-01-10T00:00:00"/>
    <s v="M"/>
    <x v="0"/>
    <x v="0"/>
    <x v="0"/>
    <x v="3"/>
    <x v="5"/>
    <x v="1"/>
    <x v="1"/>
  </r>
  <r>
    <s v="TX500150"/>
    <x v="10"/>
    <x v="12"/>
    <n v="31.1"/>
    <n v="124.4"/>
    <d v="2025-01-06T00:00:00"/>
    <d v="2025-01-08T00:00:00"/>
    <s v="F"/>
    <x v="2"/>
    <x v="1"/>
    <x v="0"/>
    <x v="3"/>
    <x v="1"/>
    <x v="1"/>
    <x v="2"/>
  </r>
  <r>
    <s v="TX500151"/>
    <x v="13"/>
    <x v="20"/>
    <n v="23.4"/>
    <n v="351"/>
    <d v="2025-01-06T00:00:00"/>
    <d v="2025-01-15T00:00:00"/>
    <s v="M"/>
    <x v="0"/>
    <x v="0"/>
    <x v="0"/>
    <x v="3"/>
    <x v="8"/>
    <x v="1"/>
    <x v="1"/>
  </r>
  <r>
    <s v="TX500152"/>
    <x v="1"/>
    <x v="12"/>
    <n v="57.1"/>
    <n v="228.4"/>
    <d v="2025-01-07T00:00:00"/>
    <d v="2025-01-08T00:00:00"/>
    <s v="M"/>
    <x v="2"/>
    <x v="0"/>
    <x v="0"/>
    <x v="25"/>
    <x v="3"/>
    <x v="1"/>
    <x v="1"/>
  </r>
  <r>
    <s v="TX500153"/>
    <x v="2"/>
    <x v="9"/>
    <n v="89.9"/>
    <n v="449.5"/>
    <d v="2025-01-07T00:00:00"/>
    <d v="2025-01-07T00:00:00"/>
    <s v="F"/>
    <x v="0"/>
    <x v="3"/>
    <x v="0"/>
    <x v="23"/>
    <x v="7"/>
    <x v="1"/>
    <x v="2"/>
  </r>
  <r>
    <s v="TX500154"/>
    <x v="10"/>
    <x v="3"/>
    <n v="48.1"/>
    <n v="336.7"/>
    <d v="2025-01-07T00:00:00"/>
    <d v="2025-01-09T00:00:00"/>
    <s v="F"/>
    <x v="1"/>
    <x v="2"/>
    <x v="0"/>
    <x v="6"/>
    <x v="1"/>
    <x v="1"/>
    <x v="2"/>
  </r>
  <r>
    <s v="TX500155"/>
    <x v="8"/>
    <x v="1"/>
    <n v="29.3"/>
    <n v="58.6"/>
    <d v="2025-01-07T00:00:00"/>
    <d v="2025-01-07T00:00:00"/>
    <s v="F"/>
    <x v="1"/>
    <x v="1"/>
    <x v="0"/>
    <x v="6"/>
    <x v="7"/>
    <x v="1"/>
    <x v="2"/>
  </r>
  <r>
    <s v="TX500156"/>
    <x v="8"/>
    <x v="12"/>
    <n v="28.8"/>
    <n v="115.2"/>
    <d v="2025-01-07T00:00:00"/>
    <d v="2025-01-08T00:00:00"/>
    <s v="F"/>
    <x v="0"/>
    <x v="4"/>
    <x v="0"/>
    <x v="6"/>
    <x v="3"/>
    <x v="1"/>
    <x v="2"/>
  </r>
  <r>
    <s v="TX500157"/>
    <x v="10"/>
    <x v="9"/>
    <n v="40.5"/>
    <n v="202.5"/>
    <d v="2025-01-07T00:00:00"/>
    <d v="2025-01-11T00:00:00"/>
    <s v="F"/>
    <x v="3"/>
    <x v="0"/>
    <x v="0"/>
    <x v="6"/>
    <x v="5"/>
    <x v="1"/>
    <x v="2"/>
  </r>
  <r>
    <s v="TX500158"/>
    <x v="18"/>
    <x v="21"/>
    <n v="65.099999999999994"/>
    <n v="911.39999999999986"/>
    <d v="2025-01-07T00:00:00"/>
    <d v="2025-01-08T00:00:00"/>
    <s v="F"/>
    <x v="4"/>
    <x v="0"/>
    <x v="0"/>
    <x v="7"/>
    <x v="3"/>
    <x v="1"/>
    <x v="2"/>
  </r>
  <r>
    <s v="TX500159"/>
    <x v="8"/>
    <x v="12"/>
    <n v="40.299999999999997"/>
    <n v="161.19999999999999"/>
    <d v="2025-01-07T00:00:00"/>
    <d v="2025-01-12T00:00:00"/>
    <s v="F"/>
    <x v="2"/>
    <x v="0"/>
    <x v="0"/>
    <x v="7"/>
    <x v="0"/>
    <x v="1"/>
    <x v="2"/>
  </r>
  <r>
    <s v="TX500160"/>
    <x v="6"/>
    <x v="9"/>
    <n v="51.8"/>
    <n v="259"/>
    <d v="2025-01-07T00:00:00"/>
    <d v="2025-01-08T00:00:00"/>
    <s v="M"/>
    <x v="2"/>
    <x v="2"/>
    <x v="0"/>
    <x v="8"/>
    <x v="3"/>
    <x v="1"/>
    <x v="1"/>
  </r>
  <r>
    <s v="TX500161"/>
    <x v="6"/>
    <x v="2"/>
    <n v="61.3"/>
    <n v="183.89999999999998"/>
    <d v="2025-01-07T00:00:00"/>
    <d v="2025-01-08T00:00:00"/>
    <s v="F"/>
    <x v="3"/>
    <x v="0"/>
    <x v="0"/>
    <x v="8"/>
    <x v="3"/>
    <x v="1"/>
    <x v="2"/>
  </r>
  <r>
    <s v="TX500162"/>
    <x v="2"/>
    <x v="12"/>
    <n v="122.5"/>
    <n v="490"/>
    <d v="2025-01-07T00:00:00"/>
    <d v="2025-01-08T00:00:00"/>
    <s v="M"/>
    <x v="0"/>
    <x v="0"/>
    <x v="0"/>
    <x v="8"/>
    <x v="3"/>
    <x v="1"/>
    <x v="1"/>
  </r>
  <r>
    <s v="TX500163"/>
    <x v="0"/>
    <x v="11"/>
    <n v="12.5"/>
    <n v="112.5"/>
    <d v="2025-01-07T00:00:00"/>
    <d v="2025-01-08T00:00:00"/>
    <s v=""/>
    <x v="1"/>
    <x v="2"/>
    <x v="0"/>
    <x v="8"/>
    <x v="3"/>
    <x v="1"/>
    <x v="0"/>
  </r>
  <r>
    <s v="TX500164"/>
    <x v="15"/>
    <x v="8"/>
    <n v="37.5"/>
    <n v="300"/>
    <d v="2025-01-07T00:00:00"/>
    <d v="2025-01-08T00:00:00"/>
    <s v="F"/>
    <x v="0"/>
    <x v="0"/>
    <x v="0"/>
    <x v="9"/>
    <x v="3"/>
    <x v="1"/>
    <x v="2"/>
  </r>
  <r>
    <s v="TX500165"/>
    <x v="6"/>
    <x v="2"/>
    <n v="40"/>
    <n v="120"/>
    <d v="2025-01-07T00:00:00"/>
    <d v="2025-01-10T00:00:00"/>
    <s v="M"/>
    <x v="0"/>
    <x v="4"/>
    <x v="0"/>
    <x v="11"/>
    <x v="2"/>
    <x v="1"/>
    <x v="1"/>
  </r>
  <r>
    <s v="TX500166"/>
    <x v="17"/>
    <x v="8"/>
    <n v="38.5"/>
    <n v="308"/>
    <d v="2025-01-07T00:00:00"/>
    <d v="2025-01-12T00:00:00"/>
    <s v="F"/>
    <x v="2"/>
    <x v="1"/>
    <x v="0"/>
    <x v="11"/>
    <x v="0"/>
    <x v="1"/>
    <x v="2"/>
  </r>
  <r>
    <s v="TX500167"/>
    <x v="2"/>
    <x v="1"/>
    <n v="86.4"/>
    <n v="172.8"/>
    <d v="2025-01-07T00:00:00"/>
    <d v="2025-01-09T00:00:00"/>
    <s v="F"/>
    <x v="0"/>
    <x v="0"/>
    <x v="0"/>
    <x v="18"/>
    <x v="1"/>
    <x v="1"/>
    <x v="2"/>
  </r>
  <r>
    <s v="TX500168"/>
    <x v="10"/>
    <x v="0"/>
    <n v="50.7"/>
    <n v="50.7"/>
    <d v="2025-01-07T00:00:00"/>
    <d v="2025-01-11T00:00:00"/>
    <s v="F"/>
    <x v="1"/>
    <x v="0"/>
    <x v="0"/>
    <x v="18"/>
    <x v="5"/>
    <x v="1"/>
    <x v="2"/>
  </r>
  <r>
    <s v="TX500169"/>
    <x v="10"/>
    <x v="1"/>
    <n v="61"/>
    <n v="122"/>
    <d v="2025-01-07T00:00:00"/>
    <d v="2025-01-18T00:00:00"/>
    <s v="F"/>
    <x v="4"/>
    <x v="1"/>
    <x v="0"/>
    <x v="18"/>
    <x v="11"/>
    <x v="1"/>
    <x v="2"/>
  </r>
  <r>
    <s v="TX500170"/>
    <x v="4"/>
    <x v="1"/>
    <n v="19.899999999999999"/>
    <n v="39.799999999999997"/>
    <d v="2025-01-07T00:00:00"/>
    <d v="2025-01-10T00:00:00"/>
    <s v="F"/>
    <x v="1"/>
    <x v="0"/>
    <x v="0"/>
    <x v="28"/>
    <x v="2"/>
    <x v="1"/>
    <x v="2"/>
  </r>
  <r>
    <s v="TX500171"/>
    <x v="5"/>
    <x v="0"/>
    <n v="78.3"/>
    <n v="78.3"/>
    <d v="2025-01-07T00:00:00"/>
    <d v="2025-01-07T00:00:00"/>
    <s v="F"/>
    <x v="0"/>
    <x v="2"/>
    <x v="0"/>
    <x v="1"/>
    <x v="7"/>
    <x v="1"/>
    <x v="2"/>
  </r>
  <r>
    <s v="TX500172"/>
    <x v="0"/>
    <x v="10"/>
    <n v="10.4"/>
    <n v="197.6"/>
    <d v="2025-01-07T00:00:00"/>
    <d v="2025-01-09T00:00:00"/>
    <s v="M"/>
    <x v="0"/>
    <x v="2"/>
    <x v="0"/>
    <x v="2"/>
    <x v="1"/>
    <x v="1"/>
    <x v="1"/>
  </r>
  <r>
    <s v="TX500173"/>
    <x v="10"/>
    <x v="0"/>
    <n v="36.1"/>
    <n v="36.1"/>
    <d v="2025-01-07T00:00:00"/>
    <d v="2025-01-10T00:00:00"/>
    <s v="M"/>
    <x v="3"/>
    <x v="2"/>
    <x v="0"/>
    <x v="3"/>
    <x v="2"/>
    <x v="1"/>
    <x v="1"/>
  </r>
  <r>
    <s v="TX500174"/>
    <x v="14"/>
    <x v="1"/>
    <n v="17.3"/>
    <n v="34.6"/>
    <d v="2025-01-07T00:00:00"/>
    <d v="2025-01-09T00:00:00"/>
    <s v="F"/>
    <x v="1"/>
    <x v="2"/>
    <x v="0"/>
    <x v="3"/>
    <x v="1"/>
    <x v="1"/>
    <x v="2"/>
  </r>
  <r>
    <s v="TX500175"/>
    <x v="10"/>
    <x v="1"/>
    <n v="30.5"/>
    <n v="61"/>
    <d v="2025-01-07T00:00:00"/>
    <d v="2025-01-08T00:00:00"/>
    <s v="F"/>
    <x v="1"/>
    <x v="2"/>
    <x v="0"/>
    <x v="3"/>
    <x v="3"/>
    <x v="1"/>
    <x v="2"/>
  </r>
  <r>
    <s v="TX500176"/>
    <x v="18"/>
    <x v="22"/>
    <n v="70.099999999999994"/>
    <n v="4346.2"/>
    <d v="2025-01-07T00:00:00"/>
    <d v="2025-01-07T00:00:00"/>
    <s v="F"/>
    <x v="2"/>
    <x v="0"/>
    <x v="0"/>
    <x v="3"/>
    <x v="7"/>
    <x v="1"/>
    <x v="2"/>
  </r>
  <r>
    <s v="TX500177"/>
    <x v="3"/>
    <x v="0"/>
    <n v="76.099999999999994"/>
    <n v="76.099999999999994"/>
    <d v="2025-01-07T00:00:00"/>
    <d v="2025-01-07T00:00:00"/>
    <s v="F"/>
    <x v="2"/>
    <x v="1"/>
    <x v="0"/>
    <x v="3"/>
    <x v="7"/>
    <x v="1"/>
    <x v="2"/>
  </r>
  <r>
    <s v="TX500178"/>
    <x v="15"/>
    <x v="15"/>
    <n v="34.200000000000003"/>
    <n v="444.6"/>
    <d v="2025-01-07T00:00:00"/>
    <d v="2025-01-08T00:00:00"/>
    <s v="M"/>
    <x v="0"/>
    <x v="0"/>
    <x v="0"/>
    <x v="3"/>
    <x v="3"/>
    <x v="1"/>
    <x v="1"/>
  </r>
  <r>
    <s v="TX500179"/>
    <x v="8"/>
    <x v="9"/>
    <n v="30.3"/>
    <n v="151.5"/>
    <d v="2025-01-07T00:00:00"/>
    <d v="2025-01-12T00:00:00"/>
    <s v="F"/>
    <x v="4"/>
    <x v="0"/>
    <x v="0"/>
    <x v="3"/>
    <x v="0"/>
    <x v="1"/>
    <x v="2"/>
  </r>
  <r>
    <s v="TX500180"/>
    <x v="6"/>
    <x v="9"/>
    <n v="52.5"/>
    <n v="262.5"/>
    <d v="2025-01-07T00:00:00"/>
    <d v="2025-01-11T00:00:00"/>
    <s v=""/>
    <x v="3"/>
    <x v="0"/>
    <x v="0"/>
    <x v="3"/>
    <x v="5"/>
    <x v="1"/>
    <x v="0"/>
  </r>
  <r>
    <s v="TX500181"/>
    <x v="9"/>
    <x v="5"/>
    <n v="28.7"/>
    <n v="315.7"/>
    <d v="2025-01-07T00:00:00"/>
    <d v="2025-01-08T00:00:00"/>
    <s v="F"/>
    <x v="2"/>
    <x v="0"/>
    <x v="0"/>
    <x v="3"/>
    <x v="3"/>
    <x v="1"/>
    <x v="2"/>
  </r>
  <r>
    <s v="TX500182"/>
    <x v="7"/>
    <x v="3"/>
    <n v="52"/>
    <n v="364"/>
    <d v="2025-01-07T00:00:00"/>
    <d v="2025-01-08T00:00:00"/>
    <s v="M"/>
    <x v="1"/>
    <x v="4"/>
    <x v="0"/>
    <x v="3"/>
    <x v="3"/>
    <x v="1"/>
    <x v="1"/>
  </r>
  <r>
    <s v="TX500183"/>
    <x v="0"/>
    <x v="0"/>
    <n v="13.3"/>
    <n v="13.3"/>
    <d v="2025-01-08T00:00:00"/>
    <d v="2025-01-12T00:00:00"/>
    <s v="F"/>
    <x v="2"/>
    <x v="1"/>
    <x v="0"/>
    <x v="3"/>
    <x v="5"/>
    <x v="1"/>
    <x v="2"/>
  </r>
  <r>
    <s v="TX500184"/>
    <x v="0"/>
    <x v="2"/>
    <n v="15.7"/>
    <n v="47.099999999999994"/>
    <d v="2025-01-08T00:00:00"/>
    <d v="2025-01-09T00:00:00"/>
    <s v="F"/>
    <x v="1"/>
    <x v="0"/>
    <x v="0"/>
    <x v="29"/>
    <x v="3"/>
    <x v="1"/>
    <x v="2"/>
  </r>
  <r>
    <s v="TX500185"/>
    <x v="8"/>
    <x v="1"/>
    <n v="25.6"/>
    <n v="51.2"/>
    <d v="2025-01-08T00:00:00"/>
    <d v="2025-01-09T00:00:00"/>
    <s v="M"/>
    <x v="0"/>
    <x v="2"/>
    <x v="0"/>
    <x v="23"/>
    <x v="3"/>
    <x v="1"/>
    <x v="1"/>
  </r>
  <r>
    <s v="TX500186"/>
    <x v="8"/>
    <x v="0"/>
    <n v="43.4"/>
    <n v="43.4"/>
    <d v="2025-01-08T00:00:00"/>
    <d v="2025-01-13T00:00:00"/>
    <s v="M"/>
    <x v="0"/>
    <x v="0"/>
    <x v="0"/>
    <x v="6"/>
    <x v="0"/>
    <x v="1"/>
    <x v="1"/>
  </r>
  <r>
    <s v="TX500187"/>
    <x v="11"/>
    <x v="11"/>
    <n v="33.4"/>
    <n v="300.59999999999997"/>
    <d v="2025-01-08T00:00:00"/>
    <d v="2025-01-08T00:00:00"/>
    <s v="F"/>
    <x v="0"/>
    <x v="0"/>
    <x v="0"/>
    <x v="8"/>
    <x v="7"/>
    <x v="1"/>
    <x v="2"/>
  </r>
  <r>
    <s v="TX500188"/>
    <x v="8"/>
    <x v="10"/>
    <n v="55"/>
    <n v="1045"/>
    <d v="2025-01-08T00:00:00"/>
    <d v="2025-01-09T00:00:00"/>
    <s v="F"/>
    <x v="1"/>
    <x v="2"/>
    <x v="0"/>
    <x v="8"/>
    <x v="3"/>
    <x v="1"/>
    <x v="2"/>
  </r>
  <r>
    <s v="TX500189"/>
    <x v="8"/>
    <x v="2"/>
    <n v="23.6"/>
    <n v="70.800000000000011"/>
    <d v="2025-01-08T00:00:00"/>
    <d v="2025-01-09T00:00:00"/>
    <s v="M"/>
    <x v="0"/>
    <x v="2"/>
    <x v="0"/>
    <x v="8"/>
    <x v="3"/>
    <x v="1"/>
    <x v="1"/>
  </r>
  <r>
    <s v="TX500190"/>
    <x v="12"/>
    <x v="11"/>
    <n v="104"/>
    <n v="936"/>
    <d v="2025-01-08T00:00:00"/>
    <d v="2025-01-10T00:00:00"/>
    <s v="F"/>
    <x v="2"/>
    <x v="2"/>
    <x v="0"/>
    <x v="17"/>
    <x v="1"/>
    <x v="1"/>
    <x v="2"/>
  </r>
  <r>
    <s v="TX500191"/>
    <x v="6"/>
    <x v="1"/>
    <n v="51.8"/>
    <n v="103.6"/>
    <d v="2025-01-08T00:00:00"/>
    <d v="2025-01-12T00:00:00"/>
    <s v=""/>
    <x v="0"/>
    <x v="2"/>
    <x v="0"/>
    <x v="10"/>
    <x v="5"/>
    <x v="1"/>
    <x v="0"/>
  </r>
  <r>
    <s v="TX500192"/>
    <x v="10"/>
    <x v="9"/>
    <n v="34.5"/>
    <n v="172.5"/>
    <d v="2025-01-08T00:00:00"/>
    <d v="2025-01-10T00:00:00"/>
    <s v=""/>
    <x v="2"/>
    <x v="2"/>
    <x v="0"/>
    <x v="11"/>
    <x v="1"/>
    <x v="1"/>
    <x v="0"/>
  </r>
  <r>
    <s v="TX500193"/>
    <x v="6"/>
    <x v="1"/>
    <n v="51.8"/>
    <n v="103.6"/>
    <d v="2025-01-08T00:00:00"/>
    <d v="2025-01-10T00:00:00"/>
    <s v="M"/>
    <x v="1"/>
    <x v="2"/>
    <x v="0"/>
    <x v="30"/>
    <x v="1"/>
    <x v="1"/>
    <x v="1"/>
  </r>
  <r>
    <s v="TX500194"/>
    <x v="18"/>
    <x v="23"/>
    <n v="131.5"/>
    <n v="5654.5"/>
    <d v="2025-01-08T00:00:00"/>
    <d v="2025-01-09T00:00:00"/>
    <s v="F"/>
    <x v="0"/>
    <x v="2"/>
    <x v="0"/>
    <x v="18"/>
    <x v="3"/>
    <x v="1"/>
    <x v="2"/>
  </r>
  <r>
    <s v="TX500195"/>
    <x v="8"/>
    <x v="3"/>
    <n v="47.8"/>
    <n v="334.59999999999997"/>
    <d v="2025-01-08T00:00:00"/>
    <d v="2025-01-08T00:00:00"/>
    <s v="F"/>
    <x v="0"/>
    <x v="0"/>
    <x v="0"/>
    <x v="19"/>
    <x v="7"/>
    <x v="1"/>
    <x v="2"/>
  </r>
  <r>
    <s v="TX500196"/>
    <x v="0"/>
    <x v="1"/>
    <n v="10.199999999999999"/>
    <n v="20.399999999999999"/>
    <d v="2025-01-08T00:00:00"/>
    <d v="2025-01-10T00:00:00"/>
    <s v="F"/>
    <x v="0"/>
    <x v="0"/>
    <x v="0"/>
    <x v="19"/>
    <x v="1"/>
    <x v="1"/>
    <x v="2"/>
  </r>
  <r>
    <s v="TX500197"/>
    <x v="8"/>
    <x v="8"/>
    <n v="41"/>
    <n v="328"/>
    <d v="2025-01-08T00:00:00"/>
    <d v="2025-01-08T00:00:00"/>
    <s v="F"/>
    <x v="1"/>
    <x v="2"/>
    <x v="0"/>
    <x v="19"/>
    <x v="7"/>
    <x v="1"/>
    <x v="2"/>
  </r>
  <r>
    <s v="TX500198"/>
    <x v="10"/>
    <x v="3"/>
    <n v="50.8"/>
    <n v="355.59999999999997"/>
    <d v="2025-01-08T00:00:00"/>
    <d v="2025-01-11T00:00:00"/>
    <s v="F"/>
    <x v="1"/>
    <x v="0"/>
    <x v="0"/>
    <x v="21"/>
    <x v="2"/>
    <x v="1"/>
    <x v="2"/>
  </r>
  <r>
    <s v="TX500199"/>
    <x v="18"/>
    <x v="2"/>
    <n v="39.6"/>
    <n v="118.80000000000001"/>
    <d v="2025-01-08T00:00:00"/>
    <d v="2025-01-09T00:00:00"/>
    <s v="M"/>
    <x v="2"/>
    <x v="2"/>
    <x v="0"/>
    <x v="1"/>
    <x v="3"/>
    <x v="1"/>
    <x v="1"/>
  </r>
  <r>
    <s v="TX500200"/>
    <x v="5"/>
    <x v="1"/>
    <n v="69.5"/>
    <n v="139"/>
    <d v="2025-01-08T00:00:00"/>
    <d v="2025-01-10T00:00:00"/>
    <s v="M"/>
    <x v="0"/>
    <x v="2"/>
    <x v="0"/>
    <x v="2"/>
    <x v="1"/>
    <x v="1"/>
    <x v="1"/>
  </r>
  <r>
    <s v="TX500201"/>
    <x v="8"/>
    <x v="8"/>
    <n v="32.6"/>
    <n v="260.8"/>
    <d v="2025-01-08T00:00:00"/>
    <d v="2025-01-11T00:00:00"/>
    <s v="M"/>
    <x v="1"/>
    <x v="0"/>
    <x v="0"/>
    <x v="3"/>
    <x v="2"/>
    <x v="1"/>
    <x v="1"/>
  </r>
  <r>
    <s v="TX500202"/>
    <x v="7"/>
    <x v="1"/>
    <n v="49.1"/>
    <n v="98.2"/>
    <d v="2025-01-08T00:00:00"/>
    <d v="2025-01-16T00:00:00"/>
    <s v="M"/>
    <x v="3"/>
    <x v="2"/>
    <x v="0"/>
    <x v="3"/>
    <x v="9"/>
    <x v="1"/>
    <x v="1"/>
  </r>
  <r>
    <s v="TX500203"/>
    <x v="6"/>
    <x v="1"/>
    <n v="49.4"/>
    <n v="98.8"/>
    <d v="2025-01-09T00:00:00"/>
    <d v="2025-01-10T00:00:00"/>
    <s v="F"/>
    <x v="2"/>
    <x v="0"/>
    <x v="0"/>
    <x v="3"/>
    <x v="3"/>
    <x v="1"/>
    <x v="2"/>
  </r>
  <r>
    <s v="TX500204"/>
    <x v="7"/>
    <x v="3"/>
    <n v="65.099999999999994"/>
    <n v="455.69999999999993"/>
    <d v="2025-01-09T00:00:00"/>
    <d v="2025-01-12T00:00:00"/>
    <s v="F"/>
    <x v="2"/>
    <x v="2"/>
    <x v="0"/>
    <x v="3"/>
    <x v="2"/>
    <x v="1"/>
    <x v="2"/>
  </r>
  <r>
    <s v="TX500205"/>
    <x v="3"/>
    <x v="1"/>
    <n v="52.1"/>
    <n v="104.2"/>
    <d v="2025-01-09T00:00:00"/>
    <d v="2025-01-13T00:00:00"/>
    <s v="F"/>
    <x v="2"/>
    <x v="0"/>
    <x v="0"/>
    <x v="3"/>
    <x v="5"/>
    <x v="1"/>
    <x v="2"/>
  </r>
  <r>
    <s v="TX500206"/>
    <x v="2"/>
    <x v="12"/>
    <n v="129.19999999999999"/>
    <n v="516.79999999999995"/>
    <d v="2025-01-09T00:00:00"/>
    <d v="2025-01-10T00:00:00"/>
    <s v="F"/>
    <x v="1"/>
    <x v="0"/>
    <x v="0"/>
    <x v="3"/>
    <x v="3"/>
    <x v="1"/>
    <x v="2"/>
  </r>
  <r>
    <s v="TX500207"/>
    <x v="1"/>
    <x v="10"/>
    <n v="81.8"/>
    <n v="1554.2"/>
    <d v="2025-01-09T00:00:00"/>
    <d v="2025-01-09T00:00:00"/>
    <s v="F"/>
    <x v="1"/>
    <x v="1"/>
    <x v="0"/>
    <x v="3"/>
    <x v="7"/>
    <x v="1"/>
    <x v="2"/>
  </r>
  <r>
    <s v="TX500208"/>
    <x v="17"/>
    <x v="0"/>
    <n v="24.9"/>
    <n v="24.9"/>
    <d v="2025-01-09T00:00:00"/>
    <d v="2025-01-13T00:00:00"/>
    <s v="F"/>
    <x v="1"/>
    <x v="0"/>
    <x v="0"/>
    <x v="3"/>
    <x v="5"/>
    <x v="1"/>
    <x v="2"/>
  </r>
  <r>
    <s v="TX500209"/>
    <x v="0"/>
    <x v="2"/>
    <n v="49.4"/>
    <n v="148.19999999999999"/>
    <d v="2025-01-09T00:00:00"/>
    <d v="2025-01-12T00:00:00"/>
    <s v="F"/>
    <x v="4"/>
    <x v="4"/>
    <x v="0"/>
    <x v="3"/>
    <x v="2"/>
    <x v="1"/>
    <x v="2"/>
  </r>
  <r>
    <s v="TX500210"/>
    <x v="8"/>
    <x v="1"/>
    <n v="22.7"/>
    <n v="45.4"/>
    <d v="2025-01-09T00:00:00"/>
    <d v="2025-01-10T00:00:00"/>
    <s v="M"/>
    <x v="3"/>
    <x v="2"/>
    <x v="0"/>
    <x v="3"/>
    <x v="3"/>
    <x v="1"/>
    <x v="1"/>
  </r>
  <r>
    <s v="TX500211"/>
    <x v="1"/>
    <x v="0"/>
    <n v="77.3"/>
    <n v="77.3"/>
    <d v="2025-01-09T00:00:00"/>
    <d v="2025-01-09T00:00:00"/>
    <s v="F"/>
    <x v="0"/>
    <x v="2"/>
    <x v="0"/>
    <x v="6"/>
    <x v="7"/>
    <x v="1"/>
    <x v="2"/>
  </r>
  <r>
    <s v="TX500212"/>
    <x v="1"/>
    <x v="9"/>
    <n v="109.1"/>
    <n v="545.5"/>
    <d v="2025-01-09T00:00:00"/>
    <d v="2025-01-12T00:00:00"/>
    <s v="F"/>
    <x v="0"/>
    <x v="0"/>
    <x v="0"/>
    <x v="6"/>
    <x v="2"/>
    <x v="1"/>
    <x v="2"/>
  </r>
  <r>
    <s v="TX500213"/>
    <x v="2"/>
    <x v="12"/>
    <n v="53.9"/>
    <n v="215.6"/>
    <d v="2025-01-09T00:00:00"/>
    <d v="2025-01-10T00:00:00"/>
    <s v="M"/>
    <x v="0"/>
    <x v="1"/>
    <x v="0"/>
    <x v="8"/>
    <x v="3"/>
    <x v="1"/>
    <x v="1"/>
  </r>
  <r>
    <s v="TX500214"/>
    <x v="9"/>
    <x v="18"/>
    <n v="21.2"/>
    <n v="551.19999999999993"/>
    <d v="2025-01-09T00:00:00"/>
    <d v="2025-01-09T00:00:00"/>
    <s v="F"/>
    <x v="0"/>
    <x v="0"/>
    <x v="0"/>
    <x v="9"/>
    <x v="7"/>
    <x v="1"/>
    <x v="2"/>
  </r>
  <r>
    <s v="TX500215"/>
    <x v="16"/>
    <x v="12"/>
    <n v="69"/>
    <n v="276"/>
    <d v="2025-01-09T00:00:00"/>
    <d v="2025-01-11T00:00:00"/>
    <s v="F"/>
    <x v="1"/>
    <x v="1"/>
    <x v="0"/>
    <x v="18"/>
    <x v="1"/>
    <x v="1"/>
    <x v="2"/>
  </r>
  <r>
    <s v="TX500216"/>
    <x v="6"/>
    <x v="2"/>
    <n v="46.2"/>
    <n v="138.60000000000002"/>
    <d v="2025-01-09T00:00:00"/>
    <d v="2025-01-11T00:00:00"/>
    <s v="F"/>
    <x v="0"/>
    <x v="2"/>
    <x v="0"/>
    <x v="31"/>
    <x v="1"/>
    <x v="1"/>
    <x v="2"/>
  </r>
  <r>
    <s v="TX500217"/>
    <x v="1"/>
    <x v="9"/>
    <n v="97.4"/>
    <n v="487"/>
    <d v="2025-01-09T00:00:00"/>
    <d v="2025-01-13T00:00:00"/>
    <s v="F"/>
    <x v="4"/>
    <x v="2"/>
    <x v="0"/>
    <x v="21"/>
    <x v="5"/>
    <x v="1"/>
    <x v="2"/>
  </r>
  <r>
    <s v="TX500218"/>
    <x v="8"/>
    <x v="9"/>
    <n v="21"/>
    <n v="105"/>
    <d v="2025-01-09T00:00:00"/>
    <d v="2025-01-10T00:00:00"/>
    <s v="M"/>
    <x v="0"/>
    <x v="1"/>
    <x v="0"/>
    <x v="21"/>
    <x v="3"/>
    <x v="1"/>
    <x v="1"/>
  </r>
  <r>
    <s v="TX500219"/>
    <x v="5"/>
    <x v="1"/>
    <n v="32.700000000000003"/>
    <n v="65.400000000000006"/>
    <d v="2025-01-10T00:00:00"/>
    <d v="2025-01-13T00:00:00"/>
    <s v="F"/>
    <x v="1"/>
    <x v="0"/>
    <x v="0"/>
    <x v="2"/>
    <x v="2"/>
    <x v="1"/>
    <x v="2"/>
  </r>
  <r>
    <s v="TX500220"/>
    <x v="6"/>
    <x v="12"/>
    <n v="48"/>
    <n v="192"/>
    <d v="2025-01-10T00:00:00"/>
    <d v="2025-01-11T00:00:00"/>
    <s v="M"/>
    <x v="3"/>
    <x v="0"/>
    <x v="0"/>
    <x v="3"/>
    <x v="3"/>
    <x v="1"/>
    <x v="1"/>
  </r>
  <r>
    <s v="TX500221"/>
    <x v="6"/>
    <x v="2"/>
    <n v="68.2"/>
    <n v="204.60000000000002"/>
    <d v="2025-01-10T00:00:00"/>
    <d v="2025-01-14T00:00:00"/>
    <s v=""/>
    <x v="0"/>
    <x v="2"/>
    <x v="0"/>
    <x v="3"/>
    <x v="5"/>
    <x v="1"/>
    <x v="0"/>
  </r>
  <r>
    <s v="TX500222"/>
    <x v="5"/>
    <x v="0"/>
    <n v="45.4"/>
    <n v="45.4"/>
    <d v="2025-01-10T00:00:00"/>
    <d v="2025-01-12T00:00:00"/>
    <s v="M"/>
    <x v="1"/>
    <x v="0"/>
    <x v="0"/>
    <x v="3"/>
    <x v="1"/>
    <x v="1"/>
    <x v="1"/>
  </r>
  <r>
    <s v="TX500223"/>
    <x v="12"/>
    <x v="1"/>
    <n v="53.9"/>
    <n v="107.8"/>
    <d v="2025-01-10T00:00:00"/>
    <d v="2025-01-11T00:00:00"/>
    <s v="F"/>
    <x v="2"/>
    <x v="0"/>
    <x v="0"/>
    <x v="3"/>
    <x v="3"/>
    <x v="1"/>
    <x v="2"/>
  </r>
  <r>
    <s v="TX500224"/>
    <x v="2"/>
    <x v="12"/>
    <n v="62.1"/>
    <n v="248.4"/>
    <d v="2025-01-10T00:00:00"/>
    <d v="2025-01-14T00:00:00"/>
    <s v="F"/>
    <x v="0"/>
    <x v="0"/>
    <x v="0"/>
    <x v="4"/>
    <x v="5"/>
    <x v="1"/>
    <x v="2"/>
  </r>
  <r>
    <s v="TX500225"/>
    <x v="13"/>
    <x v="3"/>
    <n v="33.1"/>
    <n v="231.70000000000002"/>
    <d v="2025-01-10T00:00:00"/>
    <d v="2025-01-15T00:00:00"/>
    <s v="M"/>
    <x v="1"/>
    <x v="0"/>
    <x v="0"/>
    <x v="6"/>
    <x v="0"/>
    <x v="1"/>
    <x v="1"/>
  </r>
  <r>
    <s v="TX500226"/>
    <x v="18"/>
    <x v="9"/>
    <n v="35.200000000000003"/>
    <n v="176"/>
    <d v="2025-01-10T00:00:00"/>
    <d v="2025-01-10T00:00:00"/>
    <s v="F"/>
    <x v="1"/>
    <x v="0"/>
    <x v="0"/>
    <x v="6"/>
    <x v="7"/>
    <x v="1"/>
    <x v="2"/>
  </r>
  <r>
    <s v="TX500227"/>
    <x v="9"/>
    <x v="2"/>
    <n v="32.1"/>
    <n v="96.300000000000011"/>
    <d v="2025-01-10T00:00:00"/>
    <d v="2025-01-15T00:00:00"/>
    <s v="M"/>
    <x v="3"/>
    <x v="0"/>
    <x v="0"/>
    <x v="8"/>
    <x v="0"/>
    <x v="1"/>
    <x v="1"/>
  </r>
  <r>
    <s v="TX500228"/>
    <x v="11"/>
    <x v="0"/>
    <n v="38.1"/>
    <n v="38.1"/>
    <d v="2025-01-10T00:00:00"/>
    <d v="2025-01-15T00:00:00"/>
    <s v="F"/>
    <x v="0"/>
    <x v="2"/>
    <x v="0"/>
    <x v="8"/>
    <x v="0"/>
    <x v="1"/>
    <x v="2"/>
  </r>
  <r>
    <s v="TX500229"/>
    <x v="8"/>
    <x v="0"/>
    <n v="65.2"/>
    <n v="65.2"/>
    <d v="2025-01-10T00:00:00"/>
    <d v="2025-01-15T00:00:00"/>
    <s v="F"/>
    <x v="3"/>
    <x v="1"/>
    <x v="0"/>
    <x v="8"/>
    <x v="0"/>
    <x v="1"/>
    <x v="2"/>
  </r>
  <r>
    <s v="TX500230"/>
    <x v="10"/>
    <x v="3"/>
    <n v="55.2"/>
    <n v="386.40000000000003"/>
    <d v="2025-01-10T00:00:00"/>
    <d v="2025-01-11T00:00:00"/>
    <s v="M"/>
    <x v="2"/>
    <x v="0"/>
    <x v="0"/>
    <x v="11"/>
    <x v="3"/>
    <x v="1"/>
    <x v="1"/>
  </r>
  <r>
    <s v="TX500231"/>
    <x v="6"/>
    <x v="0"/>
    <n v="62"/>
    <n v="62"/>
    <d v="2025-01-10T00:00:00"/>
    <d v="2025-01-14T00:00:00"/>
    <s v="F"/>
    <x v="0"/>
    <x v="0"/>
    <x v="0"/>
    <x v="11"/>
    <x v="5"/>
    <x v="1"/>
    <x v="2"/>
  </r>
  <r>
    <s v="TX500232"/>
    <x v="7"/>
    <x v="2"/>
    <n v="45.9"/>
    <n v="137.69999999999999"/>
    <d v="2025-01-10T00:00:00"/>
    <d v="2025-01-11T00:00:00"/>
    <s v="F"/>
    <x v="2"/>
    <x v="0"/>
    <x v="0"/>
    <x v="32"/>
    <x v="3"/>
    <x v="1"/>
    <x v="2"/>
  </r>
  <r>
    <s v="TX500233"/>
    <x v="18"/>
    <x v="2"/>
    <n v="58.3"/>
    <n v="174.89999999999998"/>
    <d v="2025-01-10T00:00:00"/>
    <d v="2025-01-10T00:00:00"/>
    <s v="M"/>
    <x v="1"/>
    <x v="1"/>
    <x v="0"/>
    <x v="18"/>
    <x v="7"/>
    <x v="1"/>
    <x v="1"/>
  </r>
  <r>
    <s v="TX500234"/>
    <x v="8"/>
    <x v="1"/>
    <n v="22.3"/>
    <n v="44.6"/>
    <d v="2025-01-10T00:00:00"/>
    <d v="2025-01-13T00:00:00"/>
    <s v="F"/>
    <x v="0"/>
    <x v="2"/>
    <x v="0"/>
    <x v="20"/>
    <x v="2"/>
    <x v="1"/>
    <x v="2"/>
  </r>
  <r>
    <s v="TX500235"/>
    <x v="19"/>
    <x v="9"/>
    <n v="24"/>
    <n v="120"/>
    <d v="2025-01-10T00:00:00"/>
    <d v="2025-01-11T00:00:00"/>
    <s v="M"/>
    <x v="4"/>
    <x v="0"/>
    <x v="0"/>
    <x v="1"/>
    <x v="3"/>
    <x v="1"/>
    <x v="1"/>
  </r>
  <r>
    <s v="TX500236"/>
    <x v="0"/>
    <x v="7"/>
    <n v="21.3"/>
    <n v="213"/>
    <d v="2025-01-10T00:00:00"/>
    <d v="2025-01-10T00:00:00"/>
    <s v="F"/>
    <x v="1"/>
    <x v="2"/>
    <x v="0"/>
    <x v="22"/>
    <x v="7"/>
    <x v="1"/>
    <x v="2"/>
  </r>
  <r>
    <s v="TX500237"/>
    <x v="6"/>
    <x v="24"/>
    <n v="57.8"/>
    <n v="2369.7999999999997"/>
    <d v="2025-01-10T00:00:00"/>
    <d v="2025-01-12T00:00:00"/>
    <s v="F"/>
    <x v="0"/>
    <x v="2"/>
    <x v="0"/>
    <x v="3"/>
    <x v="1"/>
    <x v="1"/>
    <x v="2"/>
  </r>
  <r>
    <s v="TX500238"/>
    <x v="10"/>
    <x v="2"/>
    <n v="67.599999999999994"/>
    <n v="202.79999999999998"/>
    <d v="2025-01-10T00:00:00"/>
    <d v="2025-01-11T00:00:00"/>
    <s v="F"/>
    <x v="0"/>
    <x v="0"/>
    <x v="0"/>
    <x v="3"/>
    <x v="3"/>
    <x v="1"/>
    <x v="2"/>
  </r>
  <r>
    <s v="TX500239"/>
    <x v="6"/>
    <x v="13"/>
    <n v="66.7"/>
    <n v="400.20000000000005"/>
    <d v="2025-01-10T00:00:00"/>
    <d v="2025-01-14T00:00:00"/>
    <s v="M"/>
    <x v="4"/>
    <x v="1"/>
    <x v="0"/>
    <x v="3"/>
    <x v="5"/>
    <x v="1"/>
    <x v="1"/>
  </r>
  <r>
    <s v="TX500240"/>
    <x v="1"/>
    <x v="12"/>
    <n v="53.1"/>
    <n v="212.4"/>
    <d v="2025-01-10T00:00:00"/>
    <d v="2025-01-12T00:00:00"/>
    <s v="F"/>
    <x v="1"/>
    <x v="0"/>
    <x v="0"/>
    <x v="3"/>
    <x v="1"/>
    <x v="1"/>
    <x v="2"/>
  </r>
  <r>
    <s v="TX500241"/>
    <x v="12"/>
    <x v="2"/>
    <n v="57.4"/>
    <n v="172.2"/>
    <d v="2025-01-10T00:00:00"/>
    <d v="2025-01-13T00:00:00"/>
    <s v="F"/>
    <x v="0"/>
    <x v="2"/>
    <x v="0"/>
    <x v="29"/>
    <x v="2"/>
    <x v="1"/>
    <x v="2"/>
  </r>
  <r>
    <s v="TX500242"/>
    <x v="2"/>
    <x v="9"/>
    <n v="58.1"/>
    <n v="290.5"/>
    <d v="2025-01-10T00:00:00"/>
    <d v="2025-01-10T00:00:00"/>
    <s v="M"/>
    <x v="2"/>
    <x v="2"/>
    <x v="0"/>
    <x v="6"/>
    <x v="7"/>
    <x v="1"/>
    <x v="1"/>
  </r>
  <r>
    <s v="TX500243"/>
    <x v="5"/>
    <x v="2"/>
    <n v="31.8"/>
    <n v="95.4"/>
    <d v="2025-01-11T00:00:00"/>
    <d v="2025-01-13T00:00:00"/>
    <s v="M"/>
    <x v="3"/>
    <x v="0"/>
    <x v="0"/>
    <x v="6"/>
    <x v="1"/>
    <x v="1"/>
    <x v="1"/>
  </r>
  <r>
    <s v="TX500244"/>
    <x v="4"/>
    <x v="2"/>
    <n v="31.5"/>
    <n v="94.5"/>
    <d v="2025-01-11T00:00:00"/>
    <d v="2025-01-14T00:00:00"/>
    <s v="M"/>
    <x v="0"/>
    <x v="1"/>
    <x v="0"/>
    <x v="8"/>
    <x v="2"/>
    <x v="1"/>
    <x v="1"/>
  </r>
  <r>
    <s v="TX500245"/>
    <x v="6"/>
    <x v="3"/>
    <n v="55.9"/>
    <n v="391.3"/>
    <d v="2025-01-11T00:00:00"/>
    <d v="2025-01-15T00:00:00"/>
    <s v="F"/>
    <x v="1"/>
    <x v="2"/>
    <x v="0"/>
    <x v="8"/>
    <x v="5"/>
    <x v="1"/>
    <x v="2"/>
  </r>
  <r>
    <s v="TX500246"/>
    <x v="8"/>
    <x v="1"/>
    <n v="36.4"/>
    <n v="72.8"/>
    <d v="2025-01-11T00:00:00"/>
    <d v="2025-01-12T00:00:00"/>
    <s v="M"/>
    <x v="1"/>
    <x v="1"/>
    <x v="0"/>
    <x v="9"/>
    <x v="3"/>
    <x v="1"/>
    <x v="1"/>
  </r>
  <r>
    <s v="TX500247"/>
    <x v="1"/>
    <x v="9"/>
    <n v="47.3"/>
    <n v="236.5"/>
    <d v="2025-01-11T00:00:00"/>
    <d v="2025-01-14T00:00:00"/>
    <s v="M"/>
    <x v="2"/>
    <x v="0"/>
    <x v="0"/>
    <x v="10"/>
    <x v="2"/>
    <x v="1"/>
    <x v="1"/>
  </r>
  <r>
    <s v="TX500248"/>
    <x v="6"/>
    <x v="2"/>
    <n v="82.5"/>
    <n v="247.5"/>
    <d v="2025-01-11T00:00:00"/>
    <d v="2025-01-12T00:00:00"/>
    <s v="M"/>
    <x v="0"/>
    <x v="0"/>
    <x v="0"/>
    <x v="11"/>
    <x v="3"/>
    <x v="1"/>
    <x v="1"/>
  </r>
  <r>
    <s v="TX500249"/>
    <x v="0"/>
    <x v="0"/>
    <n v="14.3"/>
    <n v="14.3"/>
    <d v="2025-01-11T00:00:00"/>
    <d v="2025-01-12T00:00:00"/>
    <s v="F"/>
    <x v="0"/>
    <x v="0"/>
    <x v="0"/>
    <x v="21"/>
    <x v="3"/>
    <x v="1"/>
    <x v="2"/>
  </r>
  <r>
    <s v="TX500250"/>
    <x v="2"/>
    <x v="13"/>
    <n v="57.6"/>
    <n v="345.6"/>
    <d v="2025-01-11T00:00:00"/>
    <d v="2025-01-25T00:00:00"/>
    <s v="F"/>
    <x v="0"/>
    <x v="0"/>
    <x v="0"/>
    <x v="21"/>
    <x v="12"/>
    <x v="1"/>
    <x v="2"/>
  </r>
  <r>
    <s v="TX500251"/>
    <x v="2"/>
    <x v="2"/>
    <n v="142.4"/>
    <n v="427.20000000000005"/>
    <d v="2025-01-11T00:00:00"/>
    <d v="2025-01-13T00:00:00"/>
    <s v="M"/>
    <x v="4"/>
    <x v="1"/>
    <x v="0"/>
    <x v="21"/>
    <x v="1"/>
    <x v="1"/>
    <x v="1"/>
  </r>
  <r>
    <s v="TX500252"/>
    <x v="12"/>
    <x v="0"/>
    <n v="30.2"/>
    <n v="30.2"/>
    <d v="2025-01-11T00:00:00"/>
    <d v="2025-01-15T00:00:00"/>
    <s v="M"/>
    <x v="1"/>
    <x v="2"/>
    <x v="0"/>
    <x v="2"/>
    <x v="5"/>
    <x v="1"/>
    <x v="1"/>
  </r>
  <r>
    <s v="TX500253"/>
    <x v="18"/>
    <x v="2"/>
    <n v="65.3"/>
    <n v="195.89999999999998"/>
    <d v="2025-01-11T00:00:00"/>
    <d v="2025-01-12T00:00:00"/>
    <s v="O"/>
    <x v="1"/>
    <x v="0"/>
    <x v="0"/>
    <x v="33"/>
    <x v="3"/>
    <x v="1"/>
    <x v="3"/>
  </r>
  <r>
    <s v="TX500254"/>
    <x v="0"/>
    <x v="1"/>
    <n v="33.4"/>
    <n v="66.8"/>
    <d v="2025-01-11T00:00:00"/>
    <d v="2025-01-12T00:00:00"/>
    <s v="M"/>
    <x v="1"/>
    <x v="1"/>
    <x v="0"/>
    <x v="22"/>
    <x v="3"/>
    <x v="1"/>
    <x v="1"/>
  </r>
  <r>
    <s v="TX500255"/>
    <x v="7"/>
    <x v="1"/>
    <n v="45.1"/>
    <n v="90.2"/>
    <d v="2025-01-11T00:00:00"/>
    <d v="2025-01-19T00:00:00"/>
    <s v="M"/>
    <x v="0"/>
    <x v="0"/>
    <x v="0"/>
    <x v="34"/>
    <x v="9"/>
    <x v="1"/>
    <x v="1"/>
  </r>
  <r>
    <s v="TX500256"/>
    <x v="2"/>
    <x v="3"/>
    <n v="61.7"/>
    <n v="431.90000000000003"/>
    <d v="2025-01-11T00:00:00"/>
    <d v="2025-01-13T00:00:00"/>
    <s v="F"/>
    <x v="4"/>
    <x v="0"/>
    <x v="0"/>
    <x v="3"/>
    <x v="1"/>
    <x v="1"/>
    <x v="2"/>
  </r>
  <r>
    <s v="TX500257"/>
    <x v="9"/>
    <x v="2"/>
    <n v="45.1"/>
    <n v="135.30000000000001"/>
    <d v="2025-01-12T00:00:00"/>
    <d v="2025-01-13T00:00:00"/>
    <s v="M"/>
    <x v="4"/>
    <x v="1"/>
    <x v="0"/>
    <x v="3"/>
    <x v="3"/>
    <x v="2"/>
    <x v="1"/>
  </r>
  <r>
    <s v="TX500258"/>
    <x v="15"/>
    <x v="9"/>
    <n v="22.7"/>
    <n v="113.5"/>
    <d v="2025-01-12T00:00:00"/>
    <d v="2025-01-17T00:00:00"/>
    <s v="M"/>
    <x v="0"/>
    <x v="2"/>
    <x v="0"/>
    <x v="35"/>
    <x v="0"/>
    <x v="2"/>
    <x v="1"/>
  </r>
  <r>
    <s v="TX500259"/>
    <x v="8"/>
    <x v="0"/>
    <n v="17.600000000000001"/>
    <n v="17.600000000000001"/>
    <d v="2025-01-12T00:00:00"/>
    <d v="2025-01-13T00:00:00"/>
    <s v="F"/>
    <x v="0"/>
    <x v="2"/>
    <x v="0"/>
    <x v="23"/>
    <x v="3"/>
    <x v="2"/>
    <x v="2"/>
  </r>
  <r>
    <s v="TX500260"/>
    <x v="14"/>
    <x v="1"/>
    <n v="11.3"/>
    <n v="22.6"/>
    <d v="2025-01-12T00:00:00"/>
    <d v="2025-01-15T00:00:00"/>
    <s v="F"/>
    <x v="3"/>
    <x v="2"/>
    <x v="0"/>
    <x v="23"/>
    <x v="2"/>
    <x v="2"/>
    <x v="2"/>
  </r>
  <r>
    <s v="TX500261"/>
    <x v="6"/>
    <x v="2"/>
    <n v="53.4"/>
    <n v="160.19999999999999"/>
    <d v="2025-01-12T00:00:00"/>
    <d v="2025-01-15T00:00:00"/>
    <s v="M"/>
    <x v="3"/>
    <x v="2"/>
    <x v="0"/>
    <x v="36"/>
    <x v="2"/>
    <x v="2"/>
    <x v="1"/>
  </r>
  <r>
    <s v="TX500262"/>
    <x v="6"/>
    <x v="5"/>
    <n v="51.1"/>
    <n v="562.1"/>
    <d v="2025-01-12T00:00:00"/>
    <d v="2025-01-14T00:00:00"/>
    <s v="F"/>
    <x v="2"/>
    <x v="2"/>
    <x v="0"/>
    <x v="8"/>
    <x v="1"/>
    <x v="2"/>
    <x v="2"/>
  </r>
  <r>
    <s v="TX500263"/>
    <x v="8"/>
    <x v="1"/>
    <n v="27.5"/>
    <n v="55"/>
    <d v="2025-01-12T00:00:00"/>
    <d v="2025-01-13T00:00:00"/>
    <s v="M"/>
    <x v="4"/>
    <x v="1"/>
    <x v="0"/>
    <x v="8"/>
    <x v="3"/>
    <x v="2"/>
    <x v="1"/>
  </r>
  <r>
    <s v="TX500264"/>
    <x v="9"/>
    <x v="0"/>
    <n v="33.5"/>
    <n v="33.5"/>
    <d v="2025-01-12T00:00:00"/>
    <d v="2025-01-14T00:00:00"/>
    <s v="F"/>
    <x v="0"/>
    <x v="4"/>
    <x v="0"/>
    <x v="8"/>
    <x v="1"/>
    <x v="2"/>
    <x v="2"/>
  </r>
  <r>
    <s v="TX500265"/>
    <x v="4"/>
    <x v="0"/>
    <n v="59.5"/>
    <n v="59.5"/>
    <d v="2025-01-12T00:00:00"/>
    <d v="2025-01-12T00:00:00"/>
    <s v="M"/>
    <x v="0"/>
    <x v="2"/>
    <x v="0"/>
    <x v="18"/>
    <x v="7"/>
    <x v="2"/>
    <x v="1"/>
  </r>
  <r>
    <s v="TX500266"/>
    <x v="17"/>
    <x v="12"/>
    <n v="23.5"/>
    <n v="94"/>
    <d v="2025-01-12T00:00:00"/>
    <d v="2025-01-13T00:00:00"/>
    <s v="F"/>
    <x v="3"/>
    <x v="3"/>
    <x v="0"/>
    <x v="19"/>
    <x v="3"/>
    <x v="2"/>
    <x v="2"/>
  </r>
  <r>
    <s v="TX500267"/>
    <x v="6"/>
    <x v="0"/>
    <n v="49.7"/>
    <n v="49.7"/>
    <d v="2025-01-12T00:00:00"/>
    <d v="2025-01-13T00:00:00"/>
    <s v=""/>
    <x v="1"/>
    <x v="2"/>
    <x v="0"/>
    <x v="20"/>
    <x v="3"/>
    <x v="2"/>
    <x v="0"/>
  </r>
  <r>
    <s v="TX500268"/>
    <x v="6"/>
    <x v="12"/>
    <n v="44.2"/>
    <n v="176.8"/>
    <d v="2025-01-12T00:00:00"/>
    <d v="2025-01-15T00:00:00"/>
    <s v="F"/>
    <x v="0"/>
    <x v="2"/>
    <x v="0"/>
    <x v="21"/>
    <x v="2"/>
    <x v="2"/>
    <x v="2"/>
  </r>
  <r>
    <s v="TX500269"/>
    <x v="8"/>
    <x v="0"/>
    <n v="22.1"/>
    <n v="22.1"/>
    <d v="2025-01-12T00:00:00"/>
    <d v="2025-01-16T00:00:00"/>
    <s v="F"/>
    <x v="1"/>
    <x v="1"/>
    <x v="0"/>
    <x v="33"/>
    <x v="5"/>
    <x v="2"/>
    <x v="2"/>
  </r>
  <r>
    <s v="TX500270"/>
    <x v="6"/>
    <x v="2"/>
    <n v="90.9"/>
    <n v="272.70000000000005"/>
    <d v="2025-01-12T00:00:00"/>
    <d v="2025-01-13T00:00:00"/>
    <s v="F"/>
    <x v="2"/>
    <x v="4"/>
    <x v="0"/>
    <x v="3"/>
    <x v="3"/>
    <x v="2"/>
    <x v="2"/>
  </r>
  <r>
    <s v="TX500271"/>
    <x v="8"/>
    <x v="2"/>
    <n v="44.5"/>
    <n v="133.5"/>
    <d v="2025-01-12T00:00:00"/>
    <d v="2025-01-13T00:00:00"/>
    <s v="F"/>
    <x v="1"/>
    <x v="0"/>
    <x v="0"/>
    <x v="3"/>
    <x v="3"/>
    <x v="2"/>
    <x v="2"/>
  </r>
  <r>
    <s v="TX500272"/>
    <x v="9"/>
    <x v="13"/>
    <n v="32.299999999999997"/>
    <n v="193.79999999999998"/>
    <d v="2025-01-12T00:00:00"/>
    <d v="2025-01-16T00:00:00"/>
    <s v="F"/>
    <x v="0"/>
    <x v="0"/>
    <x v="0"/>
    <x v="3"/>
    <x v="5"/>
    <x v="2"/>
    <x v="2"/>
  </r>
  <r>
    <s v="TX500273"/>
    <x v="17"/>
    <x v="2"/>
    <n v="87.5"/>
    <n v="262.5"/>
    <d v="2025-01-12T00:00:00"/>
    <d v="2025-01-13T00:00:00"/>
    <s v="F"/>
    <x v="1"/>
    <x v="1"/>
    <x v="0"/>
    <x v="3"/>
    <x v="3"/>
    <x v="2"/>
    <x v="2"/>
  </r>
  <r>
    <s v="TX500274"/>
    <x v="16"/>
    <x v="9"/>
    <n v="48.7"/>
    <n v="243.5"/>
    <d v="2025-01-12T00:00:00"/>
    <d v="2025-01-13T00:00:00"/>
    <s v="M"/>
    <x v="2"/>
    <x v="0"/>
    <x v="0"/>
    <x v="3"/>
    <x v="3"/>
    <x v="2"/>
    <x v="1"/>
  </r>
  <r>
    <s v="TX500275"/>
    <x v="0"/>
    <x v="9"/>
    <n v="22.5"/>
    <n v="112.5"/>
    <d v="2025-01-12T00:00:00"/>
    <d v="2025-01-13T00:00:00"/>
    <s v="M"/>
    <x v="0"/>
    <x v="0"/>
    <x v="0"/>
    <x v="3"/>
    <x v="3"/>
    <x v="2"/>
    <x v="1"/>
  </r>
  <r>
    <s v="TX500276"/>
    <x v="1"/>
    <x v="8"/>
    <n v="65.900000000000006"/>
    <n v="527.20000000000005"/>
    <d v="2025-01-12T00:00:00"/>
    <d v="2025-01-15T00:00:00"/>
    <s v="F"/>
    <x v="1"/>
    <x v="2"/>
    <x v="0"/>
    <x v="3"/>
    <x v="2"/>
    <x v="2"/>
    <x v="2"/>
  </r>
  <r>
    <s v="TX500277"/>
    <x v="6"/>
    <x v="9"/>
    <n v="41.9"/>
    <n v="209.5"/>
    <d v="2025-01-12T00:00:00"/>
    <d v="2025-01-19T00:00:00"/>
    <s v=""/>
    <x v="0"/>
    <x v="0"/>
    <x v="0"/>
    <x v="3"/>
    <x v="6"/>
    <x v="2"/>
    <x v="0"/>
  </r>
  <r>
    <s v="TX500278"/>
    <x v="1"/>
    <x v="9"/>
    <n v="67.5"/>
    <n v="337.5"/>
    <d v="2025-01-12T00:00:00"/>
    <d v="2025-01-13T00:00:00"/>
    <s v="F"/>
    <x v="0"/>
    <x v="2"/>
    <x v="0"/>
    <x v="3"/>
    <x v="3"/>
    <x v="2"/>
    <x v="2"/>
  </r>
  <r>
    <s v="TX500279"/>
    <x v="9"/>
    <x v="0"/>
    <n v="60.4"/>
    <n v="60.4"/>
    <d v="2025-01-13T00:00:00"/>
    <d v="2025-01-15T00:00:00"/>
    <s v="F"/>
    <x v="1"/>
    <x v="1"/>
    <x v="0"/>
    <x v="3"/>
    <x v="1"/>
    <x v="2"/>
    <x v="2"/>
  </r>
  <r>
    <s v="TX500280"/>
    <x v="1"/>
    <x v="3"/>
    <n v="30.4"/>
    <n v="212.79999999999998"/>
    <d v="2025-01-13T00:00:00"/>
    <d v="2025-01-16T00:00:00"/>
    <s v="F"/>
    <x v="4"/>
    <x v="0"/>
    <x v="0"/>
    <x v="3"/>
    <x v="2"/>
    <x v="2"/>
    <x v="2"/>
  </r>
  <r>
    <s v="TX500281"/>
    <x v="14"/>
    <x v="1"/>
    <n v="24.5"/>
    <n v="49"/>
    <d v="2025-01-13T00:00:00"/>
    <d v="2025-01-14T00:00:00"/>
    <s v="M"/>
    <x v="3"/>
    <x v="2"/>
    <x v="0"/>
    <x v="3"/>
    <x v="3"/>
    <x v="2"/>
    <x v="1"/>
  </r>
  <r>
    <s v="TX500282"/>
    <x v="2"/>
    <x v="2"/>
    <n v="105.9"/>
    <n v="317.70000000000005"/>
    <d v="2025-01-13T00:00:00"/>
    <d v="2025-01-18T00:00:00"/>
    <s v="M"/>
    <x v="0"/>
    <x v="0"/>
    <x v="0"/>
    <x v="37"/>
    <x v="0"/>
    <x v="2"/>
    <x v="1"/>
  </r>
  <r>
    <s v="TX500283"/>
    <x v="10"/>
    <x v="25"/>
    <n v="25.9"/>
    <n v="621.59999999999991"/>
    <d v="2025-01-13T00:00:00"/>
    <d v="2025-01-14T00:00:00"/>
    <s v="F"/>
    <x v="4"/>
    <x v="0"/>
    <x v="0"/>
    <x v="23"/>
    <x v="3"/>
    <x v="2"/>
    <x v="2"/>
  </r>
  <r>
    <s v="TX500284"/>
    <x v="6"/>
    <x v="2"/>
    <n v="66.8"/>
    <n v="200.39999999999998"/>
    <d v="2025-01-13T00:00:00"/>
    <d v="2025-01-13T00:00:00"/>
    <s v="M"/>
    <x v="0"/>
    <x v="0"/>
    <x v="0"/>
    <x v="23"/>
    <x v="7"/>
    <x v="2"/>
    <x v="1"/>
  </r>
  <r>
    <s v="TX500285"/>
    <x v="6"/>
    <x v="2"/>
    <n v="112.3"/>
    <n v="336.9"/>
    <d v="2025-01-13T00:00:00"/>
    <d v="2025-01-14T00:00:00"/>
    <s v="M"/>
    <x v="2"/>
    <x v="4"/>
    <x v="0"/>
    <x v="6"/>
    <x v="3"/>
    <x v="2"/>
    <x v="1"/>
  </r>
  <r>
    <s v="TX500286"/>
    <x v="1"/>
    <x v="13"/>
    <n v="94.1"/>
    <n v="564.59999999999991"/>
    <d v="2025-01-13T00:00:00"/>
    <d v="2025-01-14T00:00:00"/>
    <s v="F"/>
    <x v="0"/>
    <x v="4"/>
    <x v="0"/>
    <x v="6"/>
    <x v="3"/>
    <x v="2"/>
    <x v="2"/>
  </r>
  <r>
    <s v="TX500287"/>
    <x v="5"/>
    <x v="0"/>
    <n v="40.700000000000003"/>
    <n v="40.700000000000003"/>
    <d v="2025-01-13T00:00:00"/>
    <d v="2025-01-16T00:00:00"/>
    <s v="F"/>
    <x v="2"/>
    <x v="0"/>
    <x v="0"/>
    <x v="6"/>
    <x v="2"/>
    <x v="2"/>
    <x v="2"/>
  </r>
  <r>
    <s v="TX500288"/>
    <x v="3"/>
    <x v="1"/>
    <n v="71.400000000000006"/>
    <n v="142.80000000000001"/>
    <d v="2025-01-13T00:00:00"/>
    <d v="2025-01-14T00:00:00"/>
    <s v="M"/>
    <x v="0"/>
    <x v="0"/>
    <x v="0"/>
    <x v="7"/>
    <x v="3"/>
    <x v="2"/>
    <x v="1"/>
  </r>
  <r>
    <s v="TX500289"/>
    <x v="0"/>
    <x v="16"/>
    <n v="15.6"/>
    <n v="280.8"/>
    <d v="2025-01-13T00:00:00"/>
    <d v="2025-01-14T00:00:00"/>
    <s v="M"/>
    <x v="1"/>
    <x v="3"/>
    <x v="0"/>
    <x v="8"/>
    <x v="3"/>
    <x v="2"/>
    <x v="1"/>
  </r>
  <r>
    <s v="TX500290"/>
    <x v="10"/>
    <x v="12"/>
    <n v="37.799999999999997"/>
    <n v="151.19999999999999"/>
    <d v="2025-01-13T00:00:00"/>
    <d v="2025-01-14T00:00:00"/>
    <s v="M"/>
    <x v="2"/>
    <x v="2"/>
    <x v="0"/>
    <x v="8"/>
    <x v="3"/>
    <x v="2"/>
    <x v="1"/>
  </r>
  <r>
    <s v="TX500291"/>
    <x v="4"/>
    <x v="2"/>
    <n v="28.1"/>
    <n v="84.300000000000011"/>
    <d v="2025-01-13T00:00:00"/>
    <d v="2025-01-17T00:00:00"/>
    <s v="M"/>
    <x v="0"/>
    <x v="0"/>
    <x v="0"/>
    <x v="8"/>
    <x v="5"/>
    <x v="2"/>
    <x v="1"/>
  </r>
  <r>
    <s v="TX500292"/>
    <x v="7"/>
    <x v="13"/>
    <n v="51.4"/>
    <n v="308.39999999999998"/>
    <d v="2025-01-13T00:00:00"/>
    <d v="2025-01-17T00:00:00"/>
    <s v="M"/>
    <x v="0"/>
    <x v="0"/>
    <x v="0"/>
    <x v="8"/>
    <x v="5"/>
    <x v="2"/>
    <x v="1"/>
  </r>
  <r>
    <s v="TX500293"/>
    <x v="7"/>
    <x v="1"/>
    <n v="97.7"/>
    <n v="195.4"/>
    <d v="2025-01-13T00:00:00"/>
    <d v="2025-01-15T00:00:00"/>
    <s v="F"/>
    <x v="4"/>
    <x v="2"/>
    <x v="0"/>
    <x v="17"/>
    <x v="1"/>
    <x v="2"/>
    <x v="2"/>
  </r>
  <r>
    <s v="TX500294"/>
    <x v="1"/>
    <x v="12"/>
    <n v="63.8"/>
    <n v="255.2"/>
    <d v="2025-01-13T00:00:00"/>
    <d v="2025-01-14T00:00:00"/>
    <s v="M"/>
    <x v="2"/>
    <x v="0"/>
    <x v="0"/>
    <x v="38"/>
    <x v="3"/>
    <x v="2"/>
    <x v="1"/>
  </r>
  <r>
    <s v="TX500295"/>
    <x v="13"/>
    <x v="1"/>
    <n v="20.100000000000001"/>
    <n v="40.200000000000003"/>
    <d v="2025-01-13T00:00:00"/>
    <d v="2025-01-15T00:00:00"/>
    <s v="M"/>
    <x v="0"/>
    <x v="2"/>
    <x v="0"/>
    <x v="20"/>
    <x v="1"/>
    <x v="2"/>
    <x v="1"/>
  </r>
  <r>
    <s v="TX500296"/>
    <x v="11"/>
    <x v="2"/>
    <n v="50.4"/>
    <n v="151.19999999999999"/>
    <d v="2025-01-13T00:00:00"/>
    <d v="2025-01-16T00:00:00"/>
    <s v="F"/>
    <x v="3"/>
    <x v="0"/>
    <x v="0"/>
    <x v="13"/>
    <x v="2"/>
    <x v="2"/>
    <x v="2"/>
  </r>
  <r>
    <s v="TX500297"/>
    <x v="0"/>
    <x v="0"/>
    <n v="16.2"/>
    <n v="16.2"/>
    <d v="2025-01-13T00:00:00"/>
    <d v="2025-01-26T00:00:00"/>
    <s v="F"/>
    <x v="1"/>
    <x v="0"/>
    <x v="0"/>
    <x v="1"/>
    <x v="10"/>
    <x v="2"/>
    <x v="2"/>
  </r>
  <r>
    <s v="TX500298"/>
    <x v="6"/>
    <x v="3"/>
    <n v="80.900000000000006"/>
    <n v="566.30000000000007"/>
    <d v="2025-01-13T00:00:00"/>
    <d v="2025-01-15T00:00:00"/>
    <s v="M"/>
    <x v="4"/>
    <x v="4"/>
    <x v="0"/>
    <x v="2"/>
    <x v="1"/>
    <x v="2"/>
    <x v="1"/>
  </r>
  <r>
    <s v="TX500299"/>
    <x v="9"/>
    <x v="13"/>
    <n v="95.2"/>
    <n v="571.20000000000005"/>
    <d v="2025-01-13T00:00:00"/>
    <d v="2025-01-15T00:00:00"/>
    <s v="F"/>
    <x v="0"/>
    <x v="2"/>
    <x v="0"/>
    <x v="2"/>
    <x v="1"/>
    <x v="2"/>
    <x v="2"/>
  </r>
  <r>
    <s v="TX500300"/>
    <x v="5"/>
    <x v="8"/>
    <n v="70.400000000000006"/>
    <n v="563.20000000000005"/>
    <d v="2025-01-13T00:00:00"/>
    <d v="2025-01-14T00:00:00"/>
    <s v="M"/>
    <x v="1"/>
    <x v="1"/>
    <x v="0"/>
    <x v="3"/>
    <x v="3"/>
    <x v="2"/>
    <x v="1"/>
  </r>
  <r>
    <s v="TX500301"/>
    <x v="0"/>
    <x v="9"/>
    <n v="10.7"/>
    <n v="53.5"/>
    <d v="2025-01-13T00:00:00"/>
    <d v="2025-01-17T00:00:00"/>
    <s v="F"/>
    <x v="2"/>
    <x v="0"/>
    <x v="0"/>
    <x v="3"/>
    <x v="5"/>
    <x v="2"/>
    <x v="2"/>
  </r>
  <r>
    <s v="TX500302"/>
    <x v="8"/>
    <x v="9"/>
    <n v="19.600000000000001"/>
    <n v="98"/>
    <d v="2025-01-13T00:00:00"/>
    <d v="2025-01-15T00:00:00"/>
    <s v="F"/>
    <x v="0"/>
    <x v="3"/>
    <x v="0"/>
    <x v="3"/>
    <x v="1"/>
    <x v="2"/>
    <x v="2"/>
  </r>
  <r>
    <s v="TX500303"/>
    <x v="8"/>
    <x v="5"/>
    <n v="34.700000000000003"/>
    <n v="381.70000000000005"/>
    <d v="2025-01-13T00:00:00"/>
    <d v="2025-01-15T00:00:00"/>
    <s v="F"/>
    <x v="0"/>
    <x v="2"/>
    <x v="0"/>
    <x v="3"/>
    <x v="1"/>
    <x v="2"/>
    <x v="2"/>
  </r>
  <r>
    <s v="TX500304"/>
    <x v="10"/>
    <x v="11"/>
    <n v="34.1"/>
    <n v="306.90000000000003"/>
    <d v="2025-01-13T00:00:00"/>
    <d v="2025-01-14T00:00:00"/>
    <s v="F"/>
    <x v="4"/>
    <x v="1"/>
    <x v="0"/>
    <x v="3"/>
    <x v="3"/>
    <x v="2"/>
    <x v="2"/>
  </r>
  <r>
    <s v="TX500305"/>
    <x v="0"/>
    <x v="26"/>
    <n v="29.3"/>
    <n v="1435.7"/>
    <d v="2025-01-13T00:00:00"/>
    <d v="2025-01-13T00:00:00"/>
    <s v="M"/>
    <x v="0"/>
    <x v="1"/>
    <x v="0"/>
    <x v="3"/>
    <x v="7"/>
    <x v="2"/>
    <x v="1"/>
  </r>
  <r>
    <s v="TX500306"/>
    <x v="1"/>
    <x v="0"/>
    <n v="55.2"/>
    <n v="55.2"/>
    <d v="2025-01-13T00:00:00"/>
    <d v="2025-01-14T00:00:00"/>
    <s v="F"/>
    <x v="0"/>
    <x v="1"/>
    <x v="0"/>
    <x v="3"/>
    <x v="3"/>
    <x v="2"/>
    <x v="2"/>
  </r>
  <r>
    <s v="TX500307"/>
    <x v="18"/>
    <x v="2"/>
    <n v="26"/>
    <n v="78"/>
    <d v="2025-01-13T00:00:00"/>
    <d v="2025-01-16T00:00:00"/>
    <s v="F"/>
    <x v="0"/>
    <x v="2"/>
    <x v="0"/>
    <x v="3"/>
    <x v="2"/>
    <x v="2"/>
    <x v="2"/>
  </r>
  <r>
    <s v="TX500308"/>
    <x v="14"/>
    <x v="1"/>
    <n v="14.2"/>
    <n v="28.4"/>
    <d v="2025-01-13T00:00:00"/>
    <d v="2025-01-18T00:00:00"/>
    <s v="F"/>
    <x v="3"/>
    <x v="0"/>
    <x v="0"/>
    <x v="39"/>
    <x v="0"/>
    <x v="2"/>
    <x v="2"/>
  </r>
  <r>
    <s v="TX500309"/>
    <x v="8"/>
    <x v="11"/>
    <n v="22.7"/>
    <n v="204.29999999999998"/>
    <d v="2025-01-14T00:00:00"/>
    <d v="2025-01-15T00:00:00"/>
    <s v="M"/>
    <x v="1"/>
    <x v="0"/>
    <x v="0"/>
    <x v="6"/>
    <x v="3"/>
    <x v="2"/>
    <x v="1"/>
  </r>
  <r>
    <s v="TX500310"/>
    <x v="0"/>
    <x v="20"/>
    <n v="19.8"/>
    <n v="297"/>
    <d v="2025-01-14T00:00:00"/>
    <d v="2025-01-14T00:00:00"/>
    <s v="F"/>
    <x v="0"/>
    <x v="2"/>
    <x v="0"/>
    <x v="6"/>
    <x v="7"/>
    <x v="2"/>
    <x v="2"/>
  </r>
  <r>
    <s v="TX500311"/>
    <x v="0"/>
    <x v="2"/>
    <n v="31.7"/>
    <n v="95.1"/>
    <d v="2025-01-14T00:00:00"/>
    <d v="2025-01-15T00:00:00"/>
    <s v="M"/>
    <x v="2"/>
    <x v="0"/>
    <x v="0"/>
    <x v="6"/>
    <x v="3"/>
    <x v="2"/>
    <x v="1"/>
  </r>
  <r>
    <s v="TX500312"/>
    <x v="8"/>
    <x v="12"/>
    <n v="30.4"/>
    <n v="121.6"/>
    <d v="2025-01-14T00:00:00"/>
    <d v="2025-01-18T00:00:00"/>
    <s v="M"/>
    <x v="0"/>
    <x v="0"/>
    <x v="0"/>
    <x v="6"/>
    <x v="5"/>
    <x v="2"/>
    <x v="1"/>
  </r>
  <r>
    <s v="TX500313"/>
    <x v="0"/>
    <x v="12"/>
    <n v="25.6"/>
    <n v="102.4"/>
    <d v="2025-01-14T00:00:00"/>
    <d v="2025-01-15T00:00:00"/>
    <s v="M"/>
    <x v="3"/>
    <x v="0"/>
    <x v="0"/>
    <x v="8"/>
    <x v="3"/>
    <x v="2"/>
    <x v="1"/>
  </r>
  <r>
    <s v="TX500314"/>
    <x v="5"/>
    <x v="1"/>
    <n v="34.9"/>
    <n v="69.8"/>
    <d v="2025-01-14T00:00:00"/>
    <d v="2025-01-15T00:00:00"/>
    <s v="F"/>
    <x v="2"/>
    <x v="0"/>
    <x v="0"/>
    <x v="9"/>
    <x v="3"/>
    <x v="2"/>
    <x v="2"/>
  </r>
  <r>
    <s v="TX500315"/>
    <x v="7"/>
    <x v="13"/>
    <n v="42.7"/>
    <n v="256.20000000000005"/>
    <d v="2025-01-14T00:00:00"/>
    <d v="2025-01-17T00:00:00"/>
    <s v="M"/>
    <x v="2"/>
    <x v="1"/>
    <x v="0"/>
    <x v="11"/>
    <x v="2"/>
    <x v="2"/>
    <x v="1"/>
  </r>
  <r>
    <s v="TX500316"/>
    <x v="8"/>
    <x v="0"/>
    <n v="23.9"/>
    <n v="23.9"/>
    <d v="2025-01-14T00:00:00"/>
    <d v="2025-01-16T00:00:00"/>
    <s v="F"/>
    <x v="3"/>
    <x v="0"/>
    <x v="0"/>
    <x v="11"/>
    <x v="1"/>
    <x v="2"/>
    <x v="2"/>
  </r>
  <r>
    <s v="TX500317"/>
    <x v="6"/>
    <x v="0"/>
    <n v="124.3"/>
    <n v="124.3"/>
    <d v="2025-01-14T00:00:00"/>
    <d v="2025-01-15T00:00:00"/>
    <s v=""/>
    <x v="2"/>
    <x v="1"/>
    <x v="0"/>
    <x v="21"/>
    <x v="3"/>
    <x v="2"/>
    <x v="0"/>
  </r>
  <r>
    <s v="TX500318"/>
    <x v="8"/>
    <x v="13"/>
    <n v="35.9"/>
    <n v="215.39999999999998"/>
    <d v="2025-01-14T00:00:00"/>
    <d v="2025-01-15T00:00:00"/>
    <s v="F"/>
    <x v="0"/>
    <x v="1"/>
    <x v="0"/>
    <x v="1"/>
    <x v="3"/>
    <x v="2"/>
    <x v="2"/>
  </r>
  <r>
    <s v="TX500319"/>
    <x v="2"/>
    <x v="1"/>
    <n v="69.099999999999994"/>
    <n v="138.19999999999999"/>
    <d v="2025-01-14T00:00:00"/>
    <d v="2025-01-17T00:00:00"/>
    <s v="F"/>
    <x v="0"/>
    <x v="2"/>
    <x v="0"/>
    <x v="22"/>
    <x v="2"/>
    <x v="2"/>
    <x v="2"/>
  </r>
  <r>
    <s v="TX500320"/>
    <x v="7"/>
    <x v="0"/>
    <n v="58.4"/>
    <n v="58.4"/>
    <d v="2025-01-14T00:00:00"/>
    <d v="2025-01-18T00:00:00"/>
    <s v="M"/>
    <x v="0"/>
    <x v="0"/>
    <x v="0"/>
    <x v="22"/>
    <x v="5"/>
    <x v="2"/>
    <x v="1"/>
  </r>
  <r>
    <s v="TX500321"/>
    <x v="5"/>
    <x v="0"/>
    <n v="65.2"/>
    <n v="65.2"/>
    <d v="2025-01-14T00:00:00"/>
    <d v="2025-01-16T00:00:00"/>
    <s v="O"/>
    <x v="4"/>
    <x v="4"/>
    <x v="0"/>
    <x v="3"/>
    <x v="1"/>
    <x v="2"/>
    <x v="3"/>
  </r>
  <r>
    <s v="TX500322"/>
    <x v="8"/>
    <x v="14"/>
    <n v="32.700000000000003"/>
    <n v="555.90000000000009"/>
    <d v="2025-01-14T00:00:00"/>
    <d v="2025-01-21T00:00:00"/>
    <s v=""/>
    <x v="4"/>
    <x v="0"/>
    <x v="0"/>
    <x v="3"/>
    <x v="6"/>
    <x v="2"/>
    <x v="0"/>
  </r>
  <r>
    <s v="TX500323"/>
    <x v="10"/>
    <x v="3"/>
    <n v="24.4"/>
    <n v="170.79999999999998"/>
    <d v="2025-01-14T00:00:00"/>
    <d v="2025-01-15T00:00:00"/>
    <s v="F"/>
    <x v="0"/>
    <x v="0"/>
    <x v="0"/>
    <x v="3"/>
    <x v="3"/>
    <x v="2"/>
    <x v="2"/>
  </r>
  <r>
    <s v="TX500324"/>
    <x v="14"/>
    <x v="1"/>
    <n v="50.4"/>
    <n v="100.8"/>
    <d v="2025-01-14T00:00:00"/>
    <d v="2025-01-20T00:00:00"/>
    <s v="M"/>
    <x v="0"/>
    <x v="1"/>
    <x v="0"/>
    <x v="3"/>
    <x v="4"/>
    <x v="2"/>
    <x v="1"/>
  </r>
  <r>
    <s v="TX500325"/>
    <x v="1"/>
    <x v="1"/>
    <n v="100"/>
    <n v="200"/>
    <d v="2025-01-14T00:00:00"/>
    <d v="2025-01-15T00:00:00"/>
    <s v="F"/>
    <x v="0"/>
    <x v="0"/>
    <x v="0"/>
    <x v="3"/>
    <x v="3"/>
    <x v="2"/>
    <x v="2"/>
  </r>
  <r>
    <s v="TX500326"/>
    <x v="10"/>
    <x v="2"/>
    <n v="43"/>
    <n v="129"/>
    <d v="2025-01-15T00:00:00"/>
    <d v="2025-01-15T00:00:00"/>
    <s v="F"/>
    <x v="2"/>
    <x v="1"/>
    <x v="0"/>
    <x v="3"/>
    <x v="7"/>
    <x v="2"/>
    <x v="2"/>
  </r>
  <r>
    <s v="TX500327"/>
    <x v="1"/>
    <x v="9"/>
    <n v="64.400000000000006"/>
    <n v="322"/>
    <d v="2025-01-15T00:00:00"/>
    <d v="2025-01-17T00:00:00"/>
    <s v="M"/>
    <x v="2"/>
    <x v="1"/>
    <x v="0"/>
    <x v="3"/>
    <x v="1"/>
    <x v="2"/>
    <x v="1"/>
  </r>
  <r>
    <s v="TX500328"/>
    <x v="18"/>
    <x v="1"/>
    <n v="57.4"/>
    <n v="114.8"/>
    <d v="2025-01-15T00:00:00"/>
    <d v="2025-01-16T00:00:00"/>
    <s v="M"/>
    <x v="2"/>
    <x v="1"/>
    <x v="0"/>
    <x v="3"/>
    <x v="3"/>
    <x v="2"/>
    <x v="1"/>
  </r>
  <r>
    <s v="TX500329"/>
    <x v="2"/>
    <x v="2"/>
    <n v="55.1"/>
    <n v="165.3"/>
    <d v="2025-01-15T00:00:00"/>
    <d v="2025-01-18T00:00:00"/>
    <s v="F"/>
    <x v="1"/>
    <x v="0"/>
    <x v="0"/>
    <x v="3"/>
    <x v="2"/>
    <x v="2"/>
    <x v="2"/>
  </r>
  <r>
    <s v="TX500330"/>
    <x v="7"/>
    <x v="12"/>
    <n v="45.4"/>
    <n v="181.6"/>
    <d v="2025-01-15T00:00:00"/>
    <d v="2025-01-16T00:00:00"/>
    <s v="F"/>
    <x v="1"/>
    <x v="0"/>
    <x v="0"/>
    <x v="3"/>
    <x v="3"/>
    <x v="2"/>
    <x v="2"/>
  </r>
  <r>
    <s v="TX500331"/>
    <x v="3"/>
    <x v="2"/>
    <n v="93.3"/>
    <n v="279.89999999999998"/>
    <d v="2025-01-15T00:00:00"/>
    <d v="2025-01-16T00:00:00"/>
    <s v="F"/>
    <x v="0"/>
    <x v="0"/>
    <x v="0"/>
    <x v="40"/>
    <x v="3"/>
    <x v="2"/>
    <x v="2"/>
  </r>
  <r>
    <s v="TX500332"/>
    <x v="2"/>
    <x v="10"/>
    <n v="158.19999999999999"/>
    <n v="3005.7999999999997"/>
    <d v="2025-01-15T00:00:00"/>
    <d v="2025-01-16T00:00:00"/>
    <s v="F"/>
    <x v="1"/>
    <x v="2"/>
    <x v="0"/>
    <x v="16"/>
    <x v="3"/>
    <x v="2"/>
    <x v="2"/>
  </r>
  <r>
    <s v="TX500333"/>
    <x v="2"/>
    <x v="1"/>
    <n v="74.900000000000006"/>
    <n v="149.80000000000001"/>
    <d v="2025-01-15T00:00:00"/>
    <d v="2025-01-17T00:00:00"/>
    <s v="M"/>
    <x v="3"/>
    <x v="0"/>
    <x v="0"/>
    <x v="6"/>
    <x v="1"/>
    <x v="2"/>
    <x v="1"/>
  </r>
  <r>
    <s v="TX500334"/>
    <x v="8"/>
    <x v="3"/>
    <n v="26"/>
    <n v="182"/>
    <d v="2025-01-15T00:00:00"/>
    <d v="2025-01-18T00:00:00"/>
    <s v="F"/>
    <x v="1"/>
    <x v="0"/>
    <x v="0"/>
    <x v="8"/>
    <x v="2"/>
    <x v="2"/>
    <x v="2"/>
  </r>
  <r>
    <s v="TX500335"/>
    <x v="9"/>
    <x v="13"/>
    <n v="37.5"/>
    <n v="225"/>
    <d v="2025-01-15T00:00:00"/>
    <d v="2025-01-16T00:00:00"/>
    <s v="F"/>
    <x v="0"/>
    <x v="1"/>
    <x v="0"/>
    <x v="8"/>
    <x v="3"/>
    <x v="2"/>
    <x v="2"/>
  </r>
  <r>
    <s v="TX500336"/>
    <x v="6"/>
    <x v="1"/>
    <n v="75.8"/>
    <n v="151.6"/>
    <d v="2025-01-15T00:00:00"/>
    <d v="2025-01-21T00:00:00"/>
    <s v="M"/>
    <x v="0"/>
    <x v="0"/>
    <x v="0"/>
    <x v="8"/>
    <x v="4"/>
    <x v="2"/>
    <x v="1"/>
  </r>
  <r>
    <s v="TX500337"/>
    <x v="7"/>
    <x v="0"/>
    <n v="48.5"/>
    <n v="48.5"/>
    <d v="2025-01-15T00:00:00"/>
    <d v="2025-01-27T00:00:00"/>
    <s v=""/>
    <x v="4"/>
    <x v="2"/>
    <x v="0"/>
    <x v="8"/>
    <x v="13"/>
    <x v="2"/>
    <x v="0"/>
  </r>
  <r>
    <s v="TX500338"/>
    <x v="6"/>
    <x v="2"/>
    <n v="98.9"/>
    <n v="296.70000000000005"/>
    <d v="2025-01-15T00:00:00"/>
    <d v="2025-01-17T00:00:00"/>
    <s v="F"/>
    <x v="4"/>
    <x v="1"/>
    <x v="0"/>
    <x v="8"/>
    <x v="1"/>
    <x v="2"/>
    <x v="2"/>
  </r>
  <r>
    <s v="TX500339"/>
    <x v="1"/>
    <x v="4"/>
    <n v="50.9"/>
    <n v="610.79999999999995"/>
    <d v="2025-01-15T00:00:00"/>
    <d v="2025-01-15T00:00:00"/>
    <s v="M"/>
    <x v="4"/>
    <x v="0"/>
    <x v="0"/>
    <x v="8"/>
    <x v="7"/>
    <x v="2"/>
    <x v="1"/>
  </r>
  <r>
    <s v="TX500340"/>
    <x v="12"/>
    <x v="13"/>
    <n v="84.7"/>
    <n v="508.20000000000005"/>
    <d v="2025-01-15T00:00:00"/>
    <d v="2025-01-15T00:00:00"/>
    <s v="F"/>
    <x v="2"/>
    <x v="0"/>
    <x v="0"/>
    <x v="8"/>
    <x v="7"/>
    <x v="2"/>
    <x v="2"/>
  </r>
  <r>
    <s v="TX500341"/>
    <x v="8"/>
    <x v="0"/>
    <n v="20.7"/>
    <n v="20.7"/>
    <d v="2025-01-15T00:00:00"/>
    <d v="2025-01-17T00:00:00"/>
    <s v="F"/>
    <x v="3"/>
    <x v="2"/>
    <x v="0"/>
    <x v="8"/>
    <x v="1"/>
    <x v="2"/>
    <x v="2"/>
  </r>
  <r>
    <s v="TX500342"/>
    <x v="12"/>
    <x v="11"/>
    <n v="57.8"/>
    <n v="520.19999999999993"/>
    <d v="2025-01-15T00:00:00"/>
    <d v="2025-01-26T00:00:00"/>
    <s v="M"/>
    <x v="0"/>
    <x v="4"/>
    <x v="0"/>
    <x v="17"/>
    <x v="11"/>
    <x v="2"/>
    <x v="1"/>
  </r>
  <r>
    <s v="TX500343"/>
    <x v="2"/>
    <x v="1"/>
    <n v="106.9"/>
    <n v="213.8"/>
    <d v="2025-01-15T00:00:00"/>
    <d v="2025-01-17T00:00:00"/>
    <s v="F"/>
    <x v="0"/>
    <x v="2"/>
    <x v="0"/>
    <x v="41"/>
    <x v="1"/>
    <x v="2"/>
    <x v="2"/>
  </r>
  <r>
    <s v="TX500344"/>
    <x v="3"/>
    <x v="9"/>
    <n v="45.2"/>
    <n v="226"/>
    <d v="2025-01-15T00:00:00"/>
    <d v="2025-01-19T00:00:00"/>
    <s v="F"/>
    <x v="1"/>
    <x v="0"/>
    <x v="0"/>
    <x v="21"/>
    <x v="5"/>
    <x v="2"/>
    <x v="2"/>
  </r>
  <r>
    <s v="TX500345"/>
    <x v="8"/>
    <x v="15"/>
    <n v="34.6"/>
    <n v="449.8"/>
    <d v="2025-01-15T00:00:00"/>
    <d v="2025-01-15T00:00:00"/>
    <s v="F"/>
    <x v="1"/>
    <x v="1"/>
    <x v="0"/>
    <x v="21"/>
    <x v="7"/>
    <x v="2"/>
    <x v="2"/>
  </r>
  <r>
    <s v="TX500346"/>
    <x v="15"/>
    <x v="0"/>
    <n v="43.8"/>
    <n v="43.8"/>
    <d v="2025-01-15T00:00:00"/>
    <d v="2025-01-17T00:00:00"/>
    <s v=""/>
    <x v="0"/>
    <x v="2"/>
    <x v="0"/>
    <x v="21"/>
    <x v="1"/>
    <x v="2"/>
    <x v="0"/>
  </r>
  <r>
    <s v="TX500347"/>
    <x v="15"/>
    <x v="0"/>
    <n v="20.399999999999999"/>
    <n v="20.399999999999999"/>
    <d v="2025-01-15T00:00:00"/>
    <d v="2025-01-17T00:00:00"/>
    <s v="M"/>
    <x v="4"/>
    <x v="1"/>
    <x v="0"/>
    <x v="21"/>
    <x v="1"/>
    <x v="2"/>
    <x v="1"/>
  </r>
  <r>
    <s v="TX500348"/>
    <x v="1"/>
    <x v="0"/>
    <n v="36.700000000000003"/>
    <n v="36.700000000000003"/>
    <d v="2025-01-15T00:00:00"/>
    <d v="2025-01-16T00:00:00"/>
    <s v="M"/>
    <x v="0"/>
    <x v="1"/>
    <x v="0"/>
    <x v="1"/>
    <x v="3"/>
    <x v="2"/>
    <x v="1"/>
  </r>
  <r>
    <s v="TX500349"/>
    <x v="8"/>
    <x v="2"/>
    <n v="27.2"/>
    <n v="81.599999999999994"/>
    <d v="2025-01-15T00:00:00"/>
    <d v="2025-01-19T00:00:00"/>
    <s v="M"/>
    <x v="0"/>
    <x v="2"/>
    <x v="0"/>
    <x v="1"/>
    <x v="5"/>
    <x v="2"/>
    <x v="1"/>
  </r>
  <r>
    <s v="TX500350"/>
    <x v="6"/>
    <x v="0"/>
    <n v="58.2"/>
    <n v="58.2"/>
    <d v="2025-01-15T00:00:00"/>
    <d v="2025-01-16T00:00:00"/>
    <s v="F"/>
    <x v="0"/>
    <x v="2"/>
    <x v="0"/>
    <x v="42"/>
    <x v="3"/>
    <x v="2"/>
    <x v="2"/>
  </r>
  <r>
    <s v="TX500351"/>
    <x v="8"/>
    <x v="2"/>
    <n v="25.6"/>
    <n v="76.800000000000011"/>
    <d v="2025-01-15T00:00:00"/>
    <d v="2025-01-16T00:00:00"/>
    <s v="M"/>
    <x v="4"/>
    <x v="4"/>
    <x v="0"/>
    <x v="2"/>
    <x v="3"/>
    <x v="2"/>
    <x v="1"/>
  </r>
  <r>
    <s v="TX500352"/>
    <x v="10"/>
    <x v="0"/>
    <n v="21.2"/>
    <n v="21.2"/>
    <d v="2025-01-15T00:00:00"/>
    <d v="2025-01-15T00:00:00"/>
    <s v="F"/>
    <x v="1"/>
    <x v="2"/>
    <x v="0"/>
    <x v="3"/>
    <x v="7"/>
    <x v="2"/>
    <x v="2"/>
  </r>
  <r>
    <s v="TX500353"/>
    <x v="6"/>
    <x v="1"/>
    <n v="48.2"/>
    <n v="96.4"/>
    <d v="2025-01-15T00:00:00"/>
    <d v="2025-01-23T00:00:00"/>
    <s v="F"/>
    <x v="0"/>
    <x v="2"/>
    <x v="0"/>
    <x v="3"/>
    <x v="9"/>
    <x v="2"/>
    <x v="2"/>
  </r>
  <r>
    <s v="TX500354"/>
    <x v="1"/>
    <x v="12"/>
    <n v="83.4"/>
    <n v="333.6"/>
    <d v="2025-01-16T00:00:00"/>
    <d v="2025-01-17T00:00:00"/>
    <s v="M"/>
    <x v="0"/>
    <x v="0"/>
    <x v="0"/>
    <x v="3"/>
    <x v="3"/>
    <x v="2"/>
    <x v="1"/>
  </r>
  <r>
    <s v="TX500355"/>
    <x v="9"/>
    <x v="2"/>
    <n v="45.3"/>
    <n v="135.89999999999998"/>
    <d v="2025-01-16T00:00:00"/>
    <d v="2025-01-22T00:00:00"/>
    <s v="M"/>
    <x v="2"/>
    <x v="1"/>
    <x v="0"/>
    <x v="3"/>
    <x v="4"/>
    <x v="2"/>
    <x v="1"/>
  </r>
  <r>
    <s v="TX500356"/>
    <x v="17"/>
    <x v="0"/>
    <n v="42"/>
    <n v="42"/>
    <d v="2025-01-16T00:00:00"/>
    <d v="2025-01-17T00:00:00"/>
    <s v=""/>
    <x v="0"/>
    <x v="0"/>
    <x v="0"/>
    <x v="3"/>
    <x v="3"/>
    <x v="2"/>
    <x v="0"/>
  </r>
  <r>
    <s v="TX500357"/>
    <x v="0"/>
    <x v="11"/>
    <n v="21.8"/>
    <n v="196.20000000000002"/>
    <d v="2025-01-16T00:00:00"/>
    <d v="2025-01-18T00:00:00"/>
    <s v="F"/>
    <x v="1"/>
    <x v="0"/>
    <x v="0"/>
    <x v="3"/>
    <x v="1"/>
    <x v="2"/>
    <x v="2"/>
  </r>
  <r>
    <s v="TX500358"/>
    <x v="8"/>
    <x v="16"/>
    <n v="21.4"/>
    <n v="385.2"/>
    <d v="2025-01-16T00:00:00"/>
    <d v="2025-01-19T00:00:00"/>
    <s v="F"/>
    <x v="1"/>
    <x v="2"/>
    <x v="0"/>
    <x v="3"/>
    <x v="2"/>
    <x v="2"/>
    <x v="2"/>
  </r>
  <r>
    <s v="TX500359"/>
    <x v="10"/>
    <x v="2"/>
    <n v="45"/>
    <n v="135"/>
    <d v="2025-01-16T00:00:00"/>
    <d v="2025-01-16T00:00:00"/>
    <s v="F"/>
    <x v="1"/>
    <x v="2"/>
    <x v="0"/>
    <x v="3"/>
    <x v="7"/>
    <x v="2"/>
    <x v="2"/>
  </r>
  <r>
    <s v="TX500360"/>
    <x v="14"/>
    <x v="0"/>
    <n v="39.6"/>
    <n v="39.6"/>
    <d v="2025-01-16T00:00:00"/>
    <d v="2025-01-17T00:00:00"/>
    <s v="M"/>
    <x v="0"/>
    <x v="2"/>
    <x v="0"/>
    <x v="3"/>
    <x v="3"/>
    <x v="2"/>
    <x v="1"/>
  </r>
  <r>
    <s v="TX500361"/>
    <x v="12"/>
    <x v="2"/>
    <n v="79.8"/>
    <n v="239.39999999999998"/>
    <d v="2025-01-16T00:00:00"/>
    <d v="2025-01-22T00:00:00"/>
    <s v="F"/>
    <x v="1"/>
    <x v="4"/>
    <x v="0"/>
    <x v="3"/>
    <x v="4"/>
    <x v="2"/>
    <x v="2"/>
  </r>
  <r>
    <s v="TX500362"/>
    <x v="1"/>
    <x v="12"/>
    <n v="63.6"/>
    <n v="254.4"/>
    <d v="2025-01-16T00:00:00"/>
    <d v="2025-01-17T00:00:00"/>
    <s v="O"/>
    <x v="0"/>
    <x v="2"/>
    <x v="0"/>
    <x v="24"/>
    <x v="3"/>
    <x v="2"/>
    <x v="3"/>
  </r>
  <r>
    <s v="TX500363"/>
    <x v="7"/>
    <x v="7"/>
    <n v="92.7"/>
    <n v="927"/>
    <d v="2025-01-16T00:00:00"/>
    <d v="2025-01-20T00:00:00"/>
    <s v="M"/>
    <x v="1"/>
    <x v="2"/>
    <x v="0"/>
    <x v="6"/>
    <x v="5"/>
    <x v="2"/>
    <x v="1"/>
  </r>
  <r>
    <s v="TX500364"/>
    <x v="1"/>
    <x v="12"/>
    <n v="48.4"/>
    <n v="193.6"/>
    <d v="2025-01-16T00:00:00"/>
    <d v="2025-01-18T00:00:00"/>
    <s v="F"/>
    <x v="1"/>
    <x v="2"/>
    <x v="0"/>
    <x v="6"/>
    <x v="1"/>
    <x v="2"/>
    <x v="2"/>
  </r>
  <r>
    <s v="TX500365"/>
    <x v="9"/>
    <x v="8"/>
    <n v="36"/>
    <n v="288"/>
    <d v="2025-01-16T00:00:00"/>
    <d v="2025-01-19T00:00:00"/>
    <s v="M"/>
    <x v="2"/>
    <x v="2"/>
    <x v="0"/>
    <x v="8"/>
    <x v="2"/>
    <x v="2"/>
    <x v="1"/>
  </r>
  <r>
    <s v="TX500366"/>
    <x v="8"/>
    <x v="4"/>
    <n v="27"/>
    <n v="324"/>
    <d v="2025-01-16T00:00:00"/>
    <d v="2025-01-18T00:00:00"/>
    <s v="F"/>
    <x v="2"/>
    <x v="1"/>
    <x v="0"/>
    <x v="8"/>
    <x v="1"/>
    <x v="2"/>
    <x v="2"/>
  </r>
  <r>
    <s v="TX500367"/>
    <x v="2"/>
    <x v="8"/>
    <n v="53.9"/>
    <n v="431.2"/>
    <d v="2025-01-16T00:00:00"/>
    <d v="2025-01-17T00:00:00"/>
    <s v=""/>
    <x v="0"/>
    <x v="0"/>
    <x v="0"/>
    <x v="8"/>
    <x v="3"/>
    <x v="2"/>
    <x v="0"/>
  </r>
  <r>
    <s v="TX500368"/>
    <x v="3"/>
    <x v="11"/>
    <n v="48.4"/>
    <n v="435.59999999999997"/>
    <d v="2025-01-16T00:00:00"/>
    <d v="2025-01-17T00:00:00"/>
    <s v="F"/>
    <x v="1"/>
    <x v="0"/>
    <x v="0"/>
    <x v="9"/>
    <x v="3"/>
    <x v="2"/>
    <x v="2"/>
  </r>
  <r>
    <s v="TX500369"/>
    <x v="17"/>
    <x v="1"/>
    <n v="49.9"/>
    <n v="99.8"/>
    <d v="2025-01-16T00:00:00"/>
    <d v="2025-01-21T00:00:00"/>
    <s v="M"/>
    <x v="4"/>
    <x v="4"/>
    <x v="0"/>
    <x v="10"/>
    <x v="0"/>
    <x v="2"/>
    <x v="1"/>
  </r>
  <r>
    <s v="TX500370"/>
    <x v="1"/>
    <x v="2"/>
    <n v="51.7"/>
    <n v="155.10000000000002"/>
    <d v="2025-01-16T00:00:00"/>
    <d v="2025-01-17T00:00:00"/>
    <s v="F"/>
    <x v="0"/>
    <x v="2"/>
    <x v="0"/>
    <x v="11"/>
    <x v="3"/>
    <x v="2"/>
    <x v="2"/>
  </r>
  <r>
    <s v="TX500371"/>
    <x v="8"/>
    <x v="2"/>
    <n v="41.8"/>
    <n v="125.39999999999999"/>
    <d v="2025-01-16T00:00:00"/>
    <d v="2025-01-18T00:00:00"/>
    <s v="F"/>
    <x v="2"/>
    <x v="0"/>
    <x v="0"/>
    <x v="18"/>
    <x v="1"/>
    <x v="2"/>
    <x v="2"/>
  </r>
  <r>
    <s v="TX500372"/>
    <x v="4"/>
    <x v="12"/>
    <n v="36.200000000000003"/>
    <n v="144.80000000000001"/>
    <d v="2025-01-17T00:00:00"/>
    <d v="2025-01-18T00:00:00"/>
    <s v="M"/>
    <x v="2"/>
    <x v="2"/>
    <x v="0"/>
    <x v="21"/>
    <x v="3"/>
    <x v="2"/>
    <x v="1"/>
  </r>
  <r>
    <s v="TX500373"/>
    <x v="2"/>
    <x v="0"/>
    <n v="150.9"/>
    <n v="150.9"/>
    <d v="2025-01-17T00:00:00"/>
    <d v="2025-01-27T00:00:00"/>
    <s v="M"/>
    <x v="0"/>
    <x v="0"/>
    <x v="0"/>
    <x v="1"/>
    <x v="14"/>
    <x v="2"/>
    <x v="1"/>
  </r>
  <r>
    <s v="TX500374"/>
    <x v="18"/>
    <x v="12"/>
    <n v="77.599999999999994"/>
    <n v="310.39999999999998"/>
    <d v="2025-01-17T00:00:00"/>
    <d v="2025-01-18T00:00:00"/>
    <s v=""/>
    <x v="2"/>
    <x v="0"/>
    <x v="0"/>
    <x v="3"/>
    <x v="3"/>
    <x v="2"/>
    <x v="0"/>
  </r>
  <r>
    <s v="TX500375"/>
    <x v="13"/>
    <x v="9"/>
    <n v="65.5"/>
    <n v="327.5"/>
    <d v="2025-01-17T00:00:00"/>
    <d v="2025-01-17T00:00:00"/>
    <s v="M"/>
    <x v="1"/>
    <x v="0"/>
    <x v="0"/>
    <x v="3"/>
    <x v="7"/>
    <x v="2"/>
    <x v="1"/>
  </r>
  <r>
    <s v="TX500376"/>
    <x v="6"/>
    <x v="2"/>
    <n v="90.1"/>
    <n v="270.29999999999995"/>
    <d v="2025-01-17T00:00:00"/>
    <d v="2025-01-19T00:00:00"/>
    <s v="F"/>
    <x v="0"/>
    <x v="0"/>
    <x v="0"/>
    <x v="3"/>
    <x v="1"/>
    <x v="2"/>
    <x v="2"/>
  </r>
  <r>
    <s v="TX500377"/>
    <x v="1"/>
    <x v="1"/>
    <n v="108.3"/>
    <n v="216.6"/>
    <d v="2025-01-17T00:00:00"/>
    <d v="2025-01-20T00:00:00"/>
    <s v="O"/>
    <x v="4"/>
    <x v="0"/>
    <x v="0"/>
    <x v="3"/>
    <x v="2"/>
    <x v="2"/>
    <x v="3"/>
  </r>
  <r>
    <s v="TX500378"/>
    <x v="5"/>
    <x v="2"/>
    <n v="59.9"/>
    <n v="179.7"/>
    <d v="2025-01-17T00:00:00"/>
    <d v="2025-01-21T00:00:00"/>
    <s v="F"/>
    <x v="0"/>
    <x v="0"/>
    <x v="0"/>
    <x v="3"/>
    <x v="5"/>
    <x v="2"/>
    <x v="2"/>
  </r>
  <r>
    <s v="TX500379"/>
    <x v="2"/>
    <x v="14"/>
    <n v="139"/>
    <n v="2363"/>
    <d v="2025-01-17T00:00:00"/>
    <d v="2025-01-19T00:00:00"/>
    <s v="F"/>
    <x v="1"/>
    <x v="4"/>
    <x v="0"/>
    <x v="3"/>
    <x v="1"/>
    <x v="2"/>
    <x v="2"/>
  </r>
  <r>
    <s v="TX500380"/>
    <x v="6"/>
    <x v="2"/>
    <n v="87.3"/>
    <n v="261.89999999999998"/>
    <d v="2025-01-17T00:00:00"/>
    <d v="2025-01-18T00:00:00"/>
    <s v="F"/>
    <x v="0"/>
    <x v="0"/>
    <x v="0"/>
    <x v="3"/>
    <x v="3"/>
    <x v="2"/>
    <x v="2"/>
  </r>
  <r>
    <s v="TX500381"/>
    <x v="11"/>
    <x v="12"/>
    <n v="42.3"/>
    <n v="169.2"/>
    <d v="2025-01-17T00:00:00"/>
    <d v="2025-01-17T00:00:00"/>
    <s v="M"/>
    <x v="0"/>
    <x v="0"/>
    <x v="0"/>
    <x v="3"/>
    <x v="7"/>
    <x v="2"/>
    <x v="1"/>
  </r>
  <r>
    <s v="TX500382"/>
    <x v="14"/>
    <x v="8"/>
    <n v="103.6"/>
    <n v="828.8"/>
    <d v="2025-01-17T00:00:00"/>
    <d v="2025-01-18T00:00:00"/>
    <s v="O"/>
    <x v="0"/>
    <x v="1"/>
    <x v="0"/>
    <x v="3"/>
    <x v="3"/>
    <x v="2"/>
    <x v="3"/>
  </r>
  <r>
    <s v="TX500383"/>
    <x v="6"/>
    <x v="1"/>
    <n v="90.9"/>
    <n v="181.8"/>
    <d v="2025-01-17T00:00:00"/>
    <d v="2025-01-18T00:00:00"/>
    <s v="M"/>
    <x v="1"/>
    <x v="0"/>
    <x v="0"/>
    <x v="6"/>
    <x v="3"/>
    <x v="2"/>
    <x v="1"/>
  </r>
  <r>
    <s v="TX500384"/>
    <x v="9"/>
    <x v="27"/>
    <n v="100.9"/>
    <n v="1614.4"/>
    <d v="2025-01-17T00:00:00"/>
    <d v="2025-01-18T00:00:00"/>
    <s v="F"/>
    <x v="1"/>
    <x v="0"/>
    <x v="0"/>
    <x v="6"/>
    <x v="3"/>
    <x v="2"/>
    <x v="2"/>
  </r>
  <r>
    <s v="TX500385"/>
    <x v="4"/>
    <x v="9"/>
    <n v="36"/>
    <n v="180"/>
    <d v="2025-01-17T00:00:00"/>
    <d v="2025-01-19T00:00:00"/>
    <s v="F"/>
    <x v="1"/>
    <x v="0"/>
    <x v="0"/>
    <x v="7"/>
    <x v="1"/>
    <x v="2"/>
    <x v="2"/>
  </r>
  <r>
    <s v="TX500386"/>
    <x v="6"/>
    <x v="13"/>
    <n v="83.3"/>
    <n v="499.79999999999995"/>
    <d v="2025-01-17T00:00:00"/>
    <d v="2025-01-20T00:00:00"/>
    <s v=""/>
    <x v="2"/>
    <x v="0"/>
    <x v="0"/>
    <x v="7"/>
    <x v="2"/>
    <x v="2"/>
    <x v="0"/>
  </r>
  <r>
    <s v="TX500387"/>
    <x v="2"/>
    <x v="14"/>
    <n v="60.3"/>
    <n v="1025.0999999999999"/>
    <d v="2025-01-17T00:00:00"/>
    <d v="2025-01-18T00:00:00"/>
    <s v="M"/>
    <x v="2"/>
    <x v="1"/>
    <x v="0"/>
    <x v="7"/>
    <x v="3"/>
    <x v="2"/>
    <x v="1"/>
  </r>
  <r>
    <s v="TX500388"/>
    <x v="2"/>
    <x v="13"/>
    <n v="120.3"/>
    <n v="721.8"/>
    <d v="2025-01-17T00:00:00"/>
    <d v="2025-01-18T00:00:00"/>
    <s v="M"/>
    <x v="2"/>
    <x v="0"/>
    <x v="0"/>
    <x v="8"/>
    <x v="3"/>
    <x v="2"/>
    <x v="1"/>
  </r>
  <r>
    <s v="TX500389"/>
    <x v="4"/>
    <x v="7"/>
    <n v="34"/>
    <n v="340"/>
    <d v="2025-01-17T00:00:00"/>
    <d v="2025-01-21T00:00:00"/>
    <s v="F"/>
    <x v="2"/>
    <x v="0"/>
    <x v="0"/>
    <x v="8"/>
    <x v="5"/>
    <x v="2"/>
    <x v="2"/>
  </r>
  <r>
    <s v="TX500390"/>
    <x v="10"/>
    <x v="9"/>
    <n v="42.6"/>
    <n v="213"/>
    <d v="2025-01-17T00:00:00"/>
    <d v="2025-01-20T00:00:00"/>
    <s v="M"/>
    <x v="1"/>
    <x v="0"/>
    <x v="0"/>
    <x v="8"/>
    <x v="2"/>
    <x v="2"/>
    <x v="1"/>
  </r>
  <r>
    <s v="TX500391"/>
    <x v="5"/>
    <x v="28"/>
    <n v="47.4"/>
    <n v="948"/>
    <d v="2025-01-17T00:00:00"/>
    <d v="2025-01-17T00:00:00"/>
    <s v="F"/>
    <x v="2"/>
    <x v="1"/>
    <x v="0"/>
    <x v="17"/>
    <x v="7"/>
    <x v="2"/>
    <x v="2"/>
  </r>
  <r>
    <s v="TX500392"/>
    <x v="2"/>
    <x v="0"/>
    <n v="74"/>
    <n v="74"/>
    <d v="2025-01-18T00:00:00"/>
    <d v="2025-01-19T00:00:00"/>
    <s v="M"/>
    <x v="1"/>
    <x v="0"/>
    <x v="0"/>
    <x v="11"/>
    <x v="3"/>
    <x v="2"/>
    <x v="1"/>
  </r>
  <r>
    <s v="TX500393"/>
    <x v="2"/>
    <x v="9"/>
    <n v="60.4"/>
    <n v="302"/>
    <d v="2025-01-18T00:00:00"/>
    <d v="2025-01-21T00:00:00"/>
    <s v="F"/>
    <x v="1"/>
    <x v="4"/>
    <x v="0"/>
    <x v="18"/>
    <x v="2"/>
    <x v="2"/>
    <x v="2"/>
  </r>
  <r>
    <s v="TX500394"/>
    <x v="12"/>
    <x v="1"/>
    <n v="69.3"/>
    <n v="138.6"/>
    <d v="2025-01-18T00:00:00"/>
    <d v="2025-01-21T00:00:00"/>
    <s v="M"/>
    <x v="1"/>
    <x v="1"/>
    <x v="0"/>
    <x v="13"/>
    <x v="2"/>
    <x v="2"/>
    <x v="1"/>
  </r>
  <r>
    <s v="TX500395"/>
    <x v="5"/>
    <x v="9"/>
    <n v="81"/>
    <n v="405"/>
    <d v="2025-01-18T00:00:00"/>
    <d v="2025-01-24T00:00:00"/>
    <s v="M"/>
    <x v="3"/>
    <x v="0"/>
    <x v="0"/>
    <x v="21"/>
    <x v="4"/>
    <x v="2"/>
    <x v="1"/>
  </r>
  <r>
    <s v="TX500396"/>
    <x v="15"/>
    <x v="2"/>
    <n v="41.5"/>
    <n v="124.5"/>
    <d v="2025-01-18T00:00:00"/>
    <d v="2025-01-20T00:00:00"/>
    <s v="O"/>
    <x v="1"/>
    <x v="0"/>
    <x v="0"/>
    <x v="21"/>
    <x v="1"/>
    <x v="2"/>
    <x v="3"/>
  </r>
  <r>
    <s v="TX500397"/>
    <x v="18"/>
    <x v="1"/>
    <n v="69.7"/>
    <n v="139.4"/>
    <d v="2025-01-18T00:00:00"/>
    <d v="2025-01-23T00:00:00"/>
    <s v="M"/>
    <x v="1"/>
    <x v="0"/>
    <x v="0"/>
    <x v="21"/>
    <x v="0"/>
    <x v="2"/>
    <x v="1"/>
  </r>
  <r>
    <s v="TX500398"/>
    <x v="2"/>
    <x v="9"/>
    <n v="83.6"/>
    <n v="418"/>
    <d v="2025-01-18T00:00:00"/>
    <d v="2025-01-18T00:00:00"/>
    <s v="F"/>
    <x v="4"/>
    <x v="0"/>
    <x v="0"/>
    <x v="1"/>
    <x v="7"/>
    <x v="2"/>
    <x v="2"/>
  </r>
  <r>
    <s v="TX500399"/>
    <x v="8"/>
    <x v="3"/>
    <n v="21.5"/>
    <n v="150.5"/>
    <d v="2025-01-18T00:00:00"/>
    <d v="2025-01-20T00:00:00"/>
    <s v="M"/>
    <x v="1"/>
    <x v="4"/>
    <x v="0"/>
    <x v="34"/>
    <x v="1"/>
    <x v="2"/>
    <x v="1"/>
  </r>
  <r>
    <s v="TX500400"/>
    <x v="8"/>
    <x v="8"/>
    <n v="28.6"/>
    <n v="228.8"/>
    <d v="2025-01-18T00:00:00"/>
    <d v="2025-01-19T00:00:00"/>
    <s v="M"/>
    <x v="0"/>
    <x v="0"/>
    <x v="0"/>
    <x v="3"/>
    <x v="3"/>
    <x v="2"/>
    <x v="1"/>
  </r>
  <r>
    <s v="TX500401"/>
    <x v="8"/>
    <x v="13"/>
    <n v="18.8"/>
    <n v="112.80000000000001"/>
    <d v="2025-01-18T00:00:00"/>
    <d v="2025-01-21T00:00:00"/>
    <s v="M"/>
    <x v="3"/>
    <x v="2"/>
    <x v="0"/>
    <x v="3"/>
    <x v="2"/>
    <x v="2"/>
    <x v="1"/>
  </r>
  <r>
    <s v="TX500402"/>
    <x v="10"/>
    <x v="12"/>
    <n v="35.1"/>
    <n v="140.4"/>
    <d v="2025-01-18T00:00:00"/>
    <d v="2025-01-18T00:00:00"/>
    <s v="F"/>
    <x v="1"/>
    <x v="1"/>
    <x v="0"/>
    <x v="3"/>
    <x v="7"/>
    <x v="2"/>
    <x v="2"/>
  </r>
  <r>
    <s v="TX500403"/>
    <x v="0"/>
    <x v="1"/>
    <n v="12.7"/>
    <n v="25.4"/>
    <d v="2025-01-18T00:00:00"/>
    <d v="2025-01-20T00:00:00"/>
    <s v="F"/>
    <x v="1"/>
    <x v="2"/>
    <x v="0"/>
    <x v="3"/>
    <x v="1"/>
    <x v="2"/>
    <x v="2"/>
  </r>
  <r>
    <s v="TX500404"/>
    <x v="8"/>
    <x v="9"/>
    <n v="27.4"/>
    <n v="137"/>
    <d v="2025-01-18T00:00:00"/>
    <d v="2025-01-20T00:00:00"/>
    <s v="O"/>
    <x v="0"/>
    <x v="0"/>
    <x v="0"/>
    <x v="3"/>
    <x v="1"/>
    <x v="2"/>
    <x v="3"/>
  </r>
  <r>
    <s v="TX500405"/>
    <x v="10"/>
    <x v="1"/>
    <n v="61.3"/>
    <n v="122.6"/>
    <d v="2025-01-18T00:00:00"/>
    <d v="2025-01-19T00:00:00"/>
    <s v="F"/>
    <x v="1"/>
    <x v="0"/>
    <x v="0"/>
    <x v="6"/>
    <x v="3"/>
    <x v="2"/>
    <x v="2"/>
  </r>
  <r>
    <s v="TX500406"/>
    <x v="8"/>
    <x v="1"/>
    <n v="64.7"/>
    <n v="129.4"/>
    <d v="2025-01-18T00:00:00"/>
    <d v="2025-01-20T00:00:00"/>
    <s v="F"/>
    <x v="3"/>
    <x v="2"/>
    <x v="0"/>
    <x v="6"/>
    <x v="1"/>
    <x v="2"/>
    <x v="2"/>
  </r>
  <r>
    <s v="TX500407"/>
    <x v="7"/>
    <x v="12"/>
    <n v="91.4"/>
    <n v="365.6"/>
    <d v="2025-01-18T00:00:00"/>
    <d v="2025-01-20T00:00:00"/>
    <s v="F"/>
    <x v="0"/>
    <x v="0"/>
    <x v="0"/>
    <x v="8"/>
    <x v="1"/>
    <x v="2"/>
    <x v="2"/>
  </r>
  <r>
    <s v="TX500408"/>
    <x v="0"/>
    <x v="1"/>
    <n v="33.1"/>
    <n v="66.2"/>
    <d v="2025-01-19T00:00:00"/>
    <d v="2025-01-20T00:00:00"/>
    <s v="M"/>
    <x v="0"/>
    <x v="2"/>
    <x v="0"/>
    <x v="8"/>
    <x v="3"/>
    <x v="3"/>
    <x v="1"/>
  </r>
  <r>
    <s v="TX500409"/>
    <x v="3"/>
    <x v="1"/>
    <n v="105.6"/>
    <n v="211.2"/>
    <d v="2025-01-19T00:00:00"/>
    <d v="2025-01-20T00:00:00"/>
    <s v="M"/>
    <x v="2"/>
    <x v="1"/>
    <x v="0"/>
    <x v="8"/>
    <x v="3"/>
    <x v="3"/>
    <x v="1"/>
  </r>
  <r>
    <s v="TX500410"/>
    <x v="10"/>
    <x v="2"/>
    <n v="46.4"/>
    <n v="139.19999999999999"/>
    <d v="2025-01-19T00:00:00"/>
    <d v="2025-01-20T00:00:00"/>
    <s v="M"/>
    <x v="2"/>
    <x v="0"/>
    <x v="0"/>
    <x v="9"/>
    <x v="3"/>
    <x v="3"/>
    <x v="1"/>
  </r>
  <r>
    <s v="TX500411"/>
    <x v="9"/>
    <x v="21"/>
    <n v="35.299999999999997"/>
    <n v="494.19999999999993"/>
    <d v="2025-01-19T00:00:00"/>
    <d v="2025-01-22T00:00:00"/>
    <s v="F"/>
    <x v="4"/>
    <x v="1"/>
    <x v="0"/>
    <x v="11"/>
    <x v="2"/>
    <x v="3"/>
    <x v="2"/>
  </r>
  <r>
    <s v="TX500412"/>
    <x v="0"/>
    <x v="1"/>
    <n v="16.100000000000001"/>
    <n v="32.200000000000003"/>
    <d v="2025-01-19T00:00:00"/>
    <d v="2025-01-21T00:00:00"/>
    <s v="M"/>
    <x v="3"/>
    <x v="2"/>
    <x v="0"/>
    <x v="32"/>
    <x v="1"/>
    <x v="3"/>
    <x v="1"/>
  </r>
  <r>
    <s v="TX500413"/>
    <x v="4"/>
    <x v="1"/>
    <n v="27.9"/>
    <n v="55.8"/>
    <d v="2025-01-19T00:00:00"/>
    <d v="2025-01-22T00:00:00"/>
    <s v="M"/>
    <x v="0"/>
    <x v="0"/>
    <x v="0"/>
    <x v="13"/>
    <x v="2"/>
    <x v="3"/>
    <x v="1"/>
  </r>
  <r>
    <s v="TX500414"/>
    <x v="8"/>
    <x v="0"/>
    <n v="47.1"/>
    <n v="47.1"/>
    <d v="2025-01-19T00:00:00"/>
    <d v="2025-01-27T00:00:00"/>
    <s v="F"/>
    <x v="1"/>
    <x v="0"/>
    <x v="0"/>
    <x v="2"/>
    <x v="9"/>
    <x v="3"/>
    <x v="2"/>
  </r>
  <r>
    <s v="TX500415"/>
    <x v="6"/>
    <x v="1"/>
    <n v="85"/>
    <n v="170"/>
    <d v="2025-01-19T00:00:00"/>
    <d v="2025-01-22T00:00:00"/>
    <s v=""/>
    <x v="2"/>
    <x v="2"/>
    <x v="0"/>
    <x v="22"/>
    <x v="2"/>
    <x v="3"/>
    <x v="0"/>
  </r>
  <r>
    <s v="TX500416"/>
    <x v="18"/>
    <x v="1"/>
    <n v="89"/>
    <n v="178"/>
    <d v="2025-01-19T00:00:00"/>
    <d v="2025-01-21T00:00:00"/>
    <s v="F"/>
    <x v="0"/>
    <x v="0"/>
    <x v="0"/>
    <x v="3"/>
    <x v="1"/>
    <x v="3"/>
    <x v="2"/>
  </r>
  <r>
    <s v="TX500417"/>
    <x v="16"/>
    <x v="2"/>
    <n v="36.6"/>
    <n v="109.80000000000001"/>
    <d v="2025-01-19T00:00:00"/>
    <d v="2025-01-20T00:00:00"/>
    <s v="O"/>
    <x v="3"/>
    <x v="2"/>
    <x v="0"/>
    <x v="3"/>
    <x v="3"/>
    <x v="3"/>
    <x v="3"/>
  </r>
  <r>
    <s v="TX500418"/>
    <x v="6"/>
    <x v="3"/>
    <n v="43.5"/>
    <n v="304.5"/>
    <d v="2025-01-19T00:00:00"/>
    <d v="2025-01-20T00:00:00"/>
    <s v="M"/>
    <x v="1"/>
    <x v="2"/>
    <x v="0"/>
    <x v="3"/>
    <x v="3"/>
    <x v="3"/>
    <x v="1"/>
  </r>
  <r>
    <s v="TX500419"/>
    <x v="9"/>
    <x v="10"/>
    <n v="30.5"/>
    <n v="579.5"/>
    <d v="2025-01-19T00:00:00"/>
    <d v="2025-01-19T00:00:00"/>
    <s v="F"/>
    <x v="3"/>
    <x v="0"/>
    <x v="0"/>
    <x v="3"/>
    <x v="7"/>
    <x v="3"/>
    <x v="2"/>
  </r>
  <r>
    <s v="TX500420"/>
    <x v="1"/>
    <x v="1"/>
    <n v="107.7"/>
    <n v="215.4"/>
    <d v="2025-01-19T00:00:00"/>
    <d v="2025-01-23T00:00:00"/>
    <s v="M"/>
    <x v="3"/>
    <x v="4"/>
    <x v="0"/>
    <x v="3"/>
    <x v="5"/>
    <x v="3"/>
    <x v="1"/>
  </r>
  <r>
    <s v="TX500421"/>
    <x v="17"/>
    <x v="18"/>
    <n v="57.1"/>
    <n v="1484.6000000000001"/>
    <d v="2025-01-19T00:00:00"/>
    <d v="2025-01-20T00:00:00"/>
    <s v="M"/>
    <x v="1"/>
    <x v="0"/>
    <x v="0"/>
    <x v="3"/>
    <x v="3"/>
    <x v="3"/>
    <x v="1"/>
  </r>
  <r>
    <s v="TX500422"/>
    <x v="2"/>
    <x v="7"/>
    <n v="111.7"/>
    <n v="1117"/>
    <d v="2025-01-19T00:00:00"/>
    <d v="2025-01-20T00:00:00"/>
    <s v="F"/>
    <x v="4"/>
    <x v="2"/>
    <x v="0"/>
    <x v="3"/>
    <x v="3"/>
    <x v="3"/>
    <x v="2"/>
  </r>
  <r>
    <s v="TX500423"/>
    <x v="18"/>
    <x v="3"/>
    <n v="44.3"/>
    <n v="310.09999999999997"/>
    <d v="2025-01-19T00:00:00"/>
    <d v="2025-01-22T00:00:00"/>
    <s v="M"/>
    <x v="3"/>
    <x v="2"/>
    <x v="0"/>
    <x v="3"/>
    <x v="2"/>
    <x v="3"/>
    <x v="1"/>
  </r>
  <r>
    <s v="TX500424"/>
    <x v="2"/>
    <x v="8"/>
    <n v="95.8"/>
    <n v="766.4"/>
    <d v="2025-01-19T00:00:00"/>
    <d v="2025-01-25T00:00:00"/>
    <s v="O"/>
    <x v="0"/>
    <x v="0"/>
    <x v="0"/>
    <x v="3"/>
    <x v="4"/>
    <x v="3"/>
    <x v="3"/>
  </r>
  <r>
    <s v="TX500425"/>
    <x v="10"/>
    <x v="3"/>
    <n v="22.6"/>
    <n v="158.20000000000002"/>
    <d v="2025-01-19T00:00:00"/>
    <d v="2025-01-22T00:00:00"/>
    <s v="F"/>
    <x v="3"/>
    <x v="1"/>
    <x v="0"/>
    <x v="3"/>
    <x v="2"/>
    <x v="3"/>
    <x v="2"/>
  </r>
  <r>
    <s v="TX500426"/>
    <x v="8"/>
    <x v="8"/>
    <n v="25.6"/>
    <n v="204.8"/>
    <d v="2025-01-19T00:00:00"/>
    <d v="2025-01-21T00:00:00"/>
    <s v="F"/>
    <x v="4"/>
    <x v="0"/>
    <x v="0"/>
    <x v="3"/>
    <x v="1"/>
    <x v="3"/>
    <x v="2"/>
  </r>
  <r>
    <s v="TX500427"/>
    <x v="6"/>
    <x v="27"/>
    <n v="54.3"/>
    <n v="868.8"/>
    <d v="2025-01-19T00:00:00"/>
    <d v="2025-01-22T00:00:00"/>
    <s v="F"/>
    <x v="4"/>
    <x v="0"/>
    <x v="0"/>
    <x v="3"/>
    <x v="2"/>
    <x v="3"/>
    <x v="2"/>
  </r>
  <r>
    <s v="TX500428"/>
    <x v="18"/>
    <x v="15"/>
    <n v="51.3"/>
    <n v="666.9"/>
    <d v="2025-01-19T00:00:00"/>
    <d v="2025-01-21T00:00:00"/>
    <s v="M"/>
    <x v="0"/>
    <x v="2"/>
    <x v="0"/>
    <x v="3"/>
    <x v="1"/>
    <x v="3"/>
    <x v="1"/>
  </r>
  <r>
    <s v="TX500429"/>
    <x v="0"/>
    <x v="8"/>
    <n v="25.6"/>
    <n v="204.8"/>
    <d v="2025-01-19T00:00:00"/>
    <d v="2025-01-20T00:00:00"/>
    <s v="F"/>
    <x v="1"/>
    <x v="1"/>
    <x v="0"/>
    <x v="3"/>
    <x v="3"/>
    <x v="3"/>
    <x v="2"/>
  </r>
  <r>
    <s v="TX500430"/>
    <x v="0"/>
    <x v="1"/>
    <n v="15.6"/>
    <n v="31.2"/>
    <d v="2025-01-19T00:00:00"/>
    <d v="2025-01-20T00:00:00"/>
    <s v="F"/>
    <x v="2"/>
    <x v="2"/>
    <x v="0"/>
    <x v="3"/>
    <x v="3"/>
    <x v="3"/>
    <x v="2"/>
  </r>
  <r>
    <s v="TX500431"/>
    <x v="8"/>
    <x v="2"/>
    <n v="30.3"/>
    <n v="90.9"/>
    <d v="2025-01-19T00:00:00"/>
    <d v="2025-01-23T00:00:00"/>
    <s v="F"/>
    <x v="0"/>
    <x v="1"/>
    <x v="0"/>
    <x v="3"/>
    <x v="5"/>
    <x v="3"/>
    <x v="2"/>
  </r>
  <r>
    <s v="TX500432"/>
    <x v="12"/>
    <x v="1"/>
    <n v="30.3"/>
    <n v="60.6"/>
    <d v="2025-01-19T00:00:00"/>
    <d v="2025-01-24T00:00:00"/>
    <s v="F"/>
    <x v="0"/>
    <x v="2"/>
    <x v="0"/>
    <x v="37"/>
    <x v="0"/>
    <x v="3"/>
    <x v="2"/>
  </r>
  <r>
    <s v="TX500433"/>
    <x v="10"/>
    <x v="2"/>
    <n v="53"/>
    <n v="159"/>
    <d v="2025-01-19T00:00:00"/>
    <d v="2025-01-26T00:00:00"/>
    <s v="F"/>
    <x v="2"/>
    <x v="0"/>
    <x v="0"/>
    <x v="24"/>
    <x v="6"/>
    <x v="3"/>
    <x v="2"/>
  </r>
  <r>
    <s v="TX500434"/>
    <x v="5"/>
    <x v="16"/>
    <n v="59.9"/>
    <n v="1078.2"/>
    <d v="2025-01-19T00:00:00"/>
    <d v="2025-01-22T00:00:00"/>
    <s v="M"/>
    <x v="2"/>
    <x v="4"/>
    <x v="0"/>
    <x v="25"/>
    <x v="2"/>
    <x v="3"/>
    <x v="1"/>
  </r>
  <r>
    <s v="TX500435"/>
    <x v="9"/>
    <x v="1"/>
    <n v="45.7"/>
    <n v="91.4"/>
    <d v="2025-01-19T00:00:00"/>
    <d v="2025-01-20T00:00:00"/>
    <s v="F"/>
    <x v="1"/>
    <x v="2"/>
    <x v="0"/>
    <x v="6"/>
    <x v="3"/>
    <x v="3"/>
    <x v="2"/>
  </r>
  <r>
    <s v="TX500436"/>
    <x v="8"/>
    <x v="12"/>
    <n v="46.1"/>
    <n v="184.4"/>
    <d v="2025-01-19T00:00:00"/>
    <d v="2025-01-20T00:00:00"/>
    <s v="M"/>
    <x v="0"/>
    <x v="0"/>
    <x v="0"/>
    <x v="6"/>
    <x v="3"/>
    <x v="3"/>
    <x v="1"/>
  </r>
  <r>
    <s v="TX500437"/>
    <x v="8"/>
    <x v="2"/>
    <n v="17.5"/>
    <n v="52.5"/>
    <d v="2025-01-19T00:00:00"/>
    <d v="2025-01-20T00:00:00"/>
    <s v="F"/>
    <x v="0"/>
    <x v="2"/>
    <x v="0"/>
    <x v="8"/>
    <x v="3"/>
    <x v="3"/>
    <x v="2"/>
  </r>
  <r>
    <s v="TX500438"/>
    <x v="10"/>
    <x v="2"/>
    <n v="36.5"/>
    <n v="109.5"/>
    <d v="2025-01-19T00:00:00"/>
    <d v="2025-01-30T00:00:00"/>
    <s v="M"/>
    <x v="2"/>
    <x v="0"/>
    <x v="0"/>
    <x v="8"/>
    <x v="11"/>
    <x v="3"/>
    <x v="1"/>
  </r>
  <r>
    <s v="TX500439"/>
    <x v="8"/>
    <x v="1"/>
    <n v="47.5"/>
    <n v="95"/>
    <d v="2025-01-20T00:00:00"/>
    <d v="2025-01-22T00:00:00"/>
    <s v="F"/>
    <x v="1"/>
    <x v="0"/>
    <x v="0"/>
    <x v="8"/>
    <x v="1"/>
    <x v="3"/>
    <x v="2"/>
  </r>
  <r>
    <s v="TX500440"/>
    <x v="6"/>
    <x v="9"/>
    <n v="45.6"/>
    <n v="228"/>
    <d v="2025-01-20T00:00:00"/>
    <d v="2025-01-22T00:00:00"/>
    <s v="F"/>
    <x v="0"/>
    <x v="2"/>
    <x v="0"/>
    <x v="8"/>
    <x v="1"/>
    <x v="3"/>
    <x v="2"/>
  </r>
  <r>
    <s v="TX500441"/>
    <x v="9"/>
    <x v="1"/>
    <n v="50.5"/>
    <n v="101"/>
    <d v="2025-01-20T00:00:00"/>
    <d v="2025-01-22T00:00:00"/>
    <s v="M"/>
    <x v="0"/>
    <x v="1"/>
    <x v="0"/>
    <x v="17"/>
    <x v="1"/>
    <x v="3"/>
    <x v="1"/>
  </r>
  <r>
    <s v="TX500442"/>
    <x v="2"/>
    <x v="7"/>
    <n v="99.8"/>
    <n v="998"/>
    <d v="2025-01-20T00:00:00"/>
    <d v="2025-01-23T00:00:00"/>
    <s v="F"/>
    <x v="2"/>
    <x v="1"/>
    <x v="0"/>
    <x v="17"/>
    <x v="2"/>
    <x v="3"/>
    <x v="2"/>
  </r>
  <r>
    <s v="TX500443"/>
    <x v="8"/>
    <x v="20"/>
    <n v="19.2"/>
    <n v="288"/>
    <d v="2025-01-20T00:00:00"/>
    <d v="2025-01-22T00:00:00"/>
    <s v="O"/>
    <x v="4"/>
    <x v="1"/>
    <x v="0"/>
    <x v="26"/>
    <x v="1"/>
    <x v="3"/>
    <x v="3"/>
  </r>
  <r>
    <s v="TX500444"/>
    <x v="17"/>
    <x v="2"/>
    <n v="22.6"/>
    <n v="67.800000000000011"/>
    <d v="2025-01-20T00:00:00"/>
    <d v="2025-01-21T00:00:00"/>
    <s v="M"/>
    <x v="1"/>
    <x v="0"/>
    <x v="0"/>
    <x v="11"/>
    <x v="3"/>
    <x v="3"/>
    <x v="1"/>
  </r>
  <r>
    <s v="TX500445"/>
    <x v="1"/>
    <x v="20"/>
    <n v="126.9"/>
    <n v="1903.5"/>
    <d v="2025-01-20T00:00:00"/>
    <d v="2025-01-22T00:00:00"/>
    <s v="F"/>
    <x v="0"/>
    <x v="2"/>
    <x v="0"/>
    <x v="11"/>
    <x v="1"/>
    <x v="3"/>
    <x v="2"/>
  </r>
  <r>
    <s v="TX500446"/>
    <x v="2"/>
    <x v="1"/>
    <n v="100.3"/>
    <n v="200.6"/>
    <d v="2025-01-20T00:00:00"/>
    <d v="2025-01-21T00:00:00"/>
    <s v="F"/>
    <x v="0"/>
    <x v="1"/>
    <x v="0"/>
    <x v="11"/>
    <x v="3"/>
    <x v="3"/>
    <x v="2"/>
  </r>
  <r>
    <s v="TX500447"/>
    <x v="4"/>
    <x v="16"/>
    <n v="24.6"/>
    <n v="442.8"/>
    <d v="2025-01-20T00:00:00"/>
    <d v="2025-01-21T00:00:00"/>
    <s v="F"/>
    <x v="4"/>
    <x v="0"/>
    <x v="0"/>
    <x v="13"/>
    <x v="3"/>
    <x v="3"/>
    <x v="2"/>
  </r>
  <r>
    <s v="TX500448"/>
    <x v="6"/>
    <x v="1"/>
    <n v="47.3"/>
    <n v="94.6"/>
    <d v="2025-01-20T00:00:00"/>
    <d v="2025-01-21T00:00:00"/>
    <s v="M"/>
    <x v="1"/>
    <x v="2"/>
    <x v="0"/>
    <x v="13"/>
    <x v="3"/>
    <x v="3"/>
    <x v="1"/>
  </r>
  <r>
    <s v="TX500449"/>
    <x v="6"/>
    <x v="3"/>
    <n v="40.799999999999997"/>
    <n v="285.59999999999997"/>
    <d v="2025-01-20T00:00:00"/>
    <d v="2025-01-23T00:00:00"/>
    <s v="F"/>
    <x v="2"/>
    <x v="2"/>
    <x v="0"/>
    <x v="21"/>
    <x v="2"/>
    <x v="3"/>
    <x v="2"/>
  </r>
  <r>
    <s v="TX500450"/>
    <x v="8"/>
    <x v="8"/>
    <n v="49.2"/>
    <n v="393.6"/>
    <d v="2025-01-20T00:00:00"/>
    <d v="2025-01-22T00:00:00"/>
    <s v="F"/>
    <x v="0"/>
    <x v="0"/>
    <x v="0"/>
    <x v="1"/>
    <x v="1"/>
    <x v="3"/>
    <x v="2"/>
  </r>
  <r>
    <s v="TX500451"/>
    <x v="8"/>
    <x v="0"/>
    <n v="28.5"/>
    <n v="28.5"/>
    <d v="2025-01-20T00:00:00"/>
    <d v="2025-01-22T00:00:00"/>
    <s v=""/>
    <x v="2"/>
    <x v="1"/>
    <x v="0"/>
    <x v="3"/>
    <x v="1"/>
    <x v="3"/>
    <x v="0"/>
  </r>
  <r>
    <s v="TX500452"/>
    <x v="18"/>
    <x v="1"/>
    <n v="36.799999999999997"/>
    <n v="73.599999999999994"/>
    <d v="2025-01-20T00:00:00"/>
    <d v="2025-01-26T00:00:00"/>
    <s v="F"/>
    <x v="0"/>
    <x v="2"/>
    <x v="0"/>
    <x v="3"/>
    <x v="4"/>
    <x v="3"/>
    <x v="2"/>
  </r>
  <r>
    <s v="TX500453"/>
    <x v="7"/>
    <x v="2"/>
    <n v="33.5"/>
    <n v="100.5"/>
    <d v="2025-01-20T00:00:00"/>
    <d v="2025-01-21T00:00:00"/>
    <s v="F"/>
    <x v="0"/>
    <x v="1"/>
    <x v="0"/>
    <x v="3"/>
    <x v="3"/>
    <x v="3"/>
    <x v="2"/>
  </r>
  <r>
    <s v="TX500454"/>
    <x v="6"/>
    <x v="13"/>
    <n v="62.5"/>
    <n v="375"/>
    <d v="2025-01-20T00:00:00"/>
    <d v="2025-01-22T00:00:00"/>
    <s v="F"/>
    <x v="0"/>
    <x v="0"/>
    <x v="0"/>
    <x v="3"/>
    <x v="1"/>
    <x v="3"/>
    <x v="2"/>
  </r>
  <r>
    <s v="TX500455"/>
    <x v="8"/>
    <x v="29"/>
    <n v="47.9"/>
    <n v="1916"/>
    <d v="2025-01-20T00:00:00"/>
    <d v="2025-01-21T00:00:00"/>
    <s v="F"/>
    <x v="3"/>
    <x v="0"/>
    <x v="0"/>
    <x v="3"/>
    <x v="3"/>
    <x v="3"/>
    <x v="2"/>
  </r>
  <r>
    <s v="TX500456"/>
    <x v="6"/>
    <x v="13"/>
    <n v="92.9"/>
    <n v="557.40000000000009"/>
    <d v="2025-01-20T00:00:00"/>
    <d v="2025-01-31T00:00:00"/>
    <s v="F"/>
    <x v="0"/>
    <x v="4"/>
    <x v="0"/>
    <x v="3"/>
    <x v="11"/>
    <x v="3"/>
    <x v="2"/>
  </r>
  <r>
    <s v="TX500457"/>
    <x v="12"/>
    <x v="2"/>
    <n v="44.1"/>
    <n v="132.30000000000001"/>
    <d v="2025-01-20T00:00:00"/>
    <d v="2025-01-20T00:00:00"/>
    <s v="F"/>
    <x v="1"/>
    <x v="1"/>
    <x v="0"/>
    <x v="43"/>
    <x v="7"/>
    <x v="3"/>
    <x v="2"/>
  </r>
  <r>
    <s v="TX500458"/>
    <x v="0"/>
    <x v="0"/>
    <n v="11.4"/>
    <n v="11.4"/>
    <d v="2025-01-21T00:00:00"/>
    <d v="2025-01-23T00:00:00"/>
    <s v="F"/>
    <x v="2"/>
    <x v="0"/>
    <x v="0"/>
    <x v="5"/>
    <x v="1"/>
    <x v="3"/>
    <x v="2"/>
  </r>
  <r>
    <s v="TX500459"/>
    <x v="6"/>
    <x v="0"/>
    <n v="83.7"/>
    <n v="83.7"/>
    <d v="2025-01-21T00:00:00"/>
    <d v="2025-01-23T00:00:00"/>
    <s v="F"/>
    <x v="0"/>
    <x v="2"/>
    <x v="0"/>
    <x v="6"/>
    <x v="1"/>
    <x v="3"/>
    <x v="2"/>
  </r>
  <r>
    <s v="TX500460"/>
    <x v="10"/>
    <x v="1"/>
    <n v="23.2"/>
    <n v="46.4"/>
    <d v="2025-01-21T00:00:00"/>
    <d v="2025-01-22T00:00:00"/>
    <s v="M"/>
    <x v="2"/>
    <x v="0"/>
    <x v="0"/>
    <x v="8"/>
    <x v="3"/>
    <x v="3"/>
    <x v="1"/>
  </r>
  <r>
    <s v="TX500461"/>
    <x v="2"/>
    <x v="0"/>
    <n v="162.1"/>
    <n v="162.1"/>
    <d v="2025-01-21T00:00:00"/>
    <d v="2025-01-24T00:00:00"/>
    <s v="F"/>
    <x v="0"/>
    <x v="2"/>
    <x v="0"/>
    <x v="9"/>
    <x v="2"/>
    <x v="3"/>
    <x v="2"/>
  </r>
  <r>
    <s v="TX500462"/>
    <x v="6"/>
    <x v="12"/>
    <n v="49.2"/>
    <n v="196.8"/>
    <d v="2025-01-21T00:00:00"/>
    <d v="2025-01-25T00:00:00"/>
    <s v="M"/>
    <x v="1"/>
    <x v="0"/>
    <x v="0"/>
    <x v="9"/>
    <x v="5"/>
    <x v="3"/>
    <x v="1"/>
  </r>
  <r>
    <s v="TX500463"/>
    <x v="1"/>
    <x v="1"/>
    <n v="61"/>
    <n v="122"/>
    <d v="2025-01-21T00:00:00"/>
    <d v="2025-01-22T00:00:00"/>
    <s v="M"/>
    <x v="3"/>
    <x v="0"/>
    <x v="0"/>
    <x v="10"/>
    <x v="3"/>
    <x v="3"/>
    <x v="1"/>
  </r>
  <r>
    <s v="TX500464"/>
    <x v="2"/>
    <x v="7"/>
    <n v="53.1"/>
    <n v="531"/>
    <d v="2025-01-21T00:00:00"/>
    <d v="2025-01-23T00:00:00"/>
    <s v="M"/>
    <x v="0"/>
    <x v="0"/>
    <x v="0"/>
    <x v="11"/>
    <x v="1"/>
    <x v="3"/>
    <x v="1"/>
  </r>
  <r>
    <s v="TX500465"/>
    <x v="4"/>
    <x v="1"/>
    <n v="22.4"/>
    <n v="44.8"/>
    <d v="2025-01-21T00:00:00"/>
    <d v="2025-01-23T00:00:00"/>
    <s v=""/>
    <x v="1"/>
    <x v="2"/>
    <x v="0"/>
    <x v="13"/>
    <x v="1"/>
    <x v="3"/>
    <x v="0"/>
  </r>
  <r>
    <s v="TX500466"/>
    <x v="1"/>
    <x v="9"/>
    <n v="75.3"/>
    <n v="376.5"/>
    <d v="2025-01-21T00:00:00"/>
    <d v="2025-01-22T00:00:00"/>
    <s v="M"/>
    <x v="0"/>
    <x v="0"/>
    <x v="0"/>
    <x v="21"/>
    <x v="3"/>
    <x v="3"/>
    <x v="1"/>
  </r>
  <r>
    <s v="TX500467"/>
    <x v="6"/>
    <x v="0"/>
    <n v="48.5"/>
    <n v="48.5"/>
    <d v="2025-01-21T00:00:00"/>
    <d v="2025-01-22T00:00:00"/>
    <s v="F"/>
    <x v="0"/>
    <x v="1"/>
    <x v="0"/>
    <x v="21"/>
    <x v="3"/>
    <x v="3"/>
    <x v="2"/>
  </r>
  <r>
    <s v="TX500468"/>
    <x v="6"/>
    <x v="0"/>
    <n v="42.6"/>
    <n v="42.6"/>
    <d v="2025-01-21T00:00:00"/>
    <d v="2025-01-25T00:00:00"/>
    <s v="F"/>
    <x v="3"/>
    <x v="0"/>
    <x v="0"/>
    <x v="1"/>
    <x v="5"/>
    <x v="3"/>
    <x v="2"/>
  </r>
  <r>
    <s v="TX500469"/>
    <x v="5"/>
    <x v="9"/>
    <n v="49"/>
    <n v="245"/>
    <d v="2025-01-21T00:00:00"/>
    <d v="2025-01-22T00:00:00"/>
    <s v="M"/>
    <x v="0"/>
    <x v="0"/>
    <x v="0"/>
    <x v="22"/>
    <x v="3"/>
    <x v="3"/>
    <x v="1"/>
  </r>
  <r>
    <s v="TX500470"/>
    <x v="8"/>
    <x v="2"/>
    <n v="31.3"/>
    <n v="93.9"/>
    <d v="2025-01-21T00:00:00"/>
    <d v="2025-01-22T00:00:00"/>
    <s v="M"/>
    <x v="2"/>
    <x v="1"/>
    <x v="0"/>
    <x v="3"/>
    <x v="3"/>
    <x v="3"/>
    <x v="1"/>
  </r>
  <r>
    <s v="TX500471"/>
    <x v="2"/>
    <x v="1"/>
    <n v="85.4"/>
    <n v="170.8"/>
    <d v="2025-01-21T00:00:00"/>
    <d v="2025-01-22T00:00:00"/>
    <s v="F"/>
    <x v="2"/>
    <x v="0"/>
    <x v="0"/>
    <x v="3"/>
    <x v="3"/>
    <x v="3"/>
    <x v="2"/>
  </r>
  <r>
    <s v="TX500472"/>
    <x v="8"/>
    <x v="12"/>
    <n v="40"/>
    <n v="160"/>
    <d v="2025-01-21T00:00:00"/>
    <d v="2025-01-22T00:00:00"/>
    <s v="O"/>
    <x v="0"/>
    <x v="2"/>
    <x v="0"/>
    <x v="3"/>
    <x v="3"/>
    <x v="3"/>
    <x v="3"/>
  </r>
  <r>
    <s v="TX500473"/>
    <x v="5"/>
    <x v="1"/>
    <n v="38.5"/>
    <n v="77"/>
    <d v="2025-01-21T00:00:00"/>
    <d v="2025-01-24T00:00:00"/>
    <s v="M"/>
    <x v="1"/>
    <x v="2"/>
    <x v="0"/>
    <x v="3"/>
    <x v="2"/>
    <x v="3"/>
    <x v="1"/>
  </r>
  <r>
    <s v="TX500474"/>
    <x v="2"/>
    <x v="1"/>
    <n v="57.8"/>
    <n v="115.6"/>
    <d v="2025-01-21T00:00:00"/>
    <d v="2025-01-22T00:00:00"/>
    <s v=""/>
    <x v="0"/>
    <x v="0"/>
    <x v="0"/>
    <x v="3"/>
    <x v="3"/>
    <x v="3"/>
    <x v="0"/>
  </r>
  <r>
    <s v="TX500475"/>
    <x v="8"/>
    <x v="0"/>
    <n v="19.2"/>
    <n v="19.2"/>
    <d v="2025-01-21T00:00:00"/>
    <d v="2025-01-22T00:00:00"/>
    <s v="F"/>
    <x v="0"/>
    <x v="4"/>
    <x v="0"/>
    <x v="3"/>
    <x v="3"/>
    <x v="3"/>
    <x v="2"/>
  </r>
  <r>
    <s v="TX500476"/>
    <x v="6"/>
    <x v="13"/>
    <n v="114.8"/>
    <n v="688.8"/>
    <d v="2025-01-21T00:00:00"/>
    <d v="2025-01-24T00:00:00"/>
    <s v="M"/>
    <x v="1"/>
    <x v="1"/>
    <x v="0"/>
    <x v="3"/>
    <x v="2"/>
    <x v="3"/>
    <x v="1"/>
  </r>
  <r>
    <s v="TX500477"/>
    <x v="10"/>
    <x v="3"/>
    <n v="48.4"/>
    <n v="338.8"/>
    <d v="2025-01-21T00:00:00"/>
    <d v="2025-01-24T00:00:00"/>
    <s v="F"/>
    <x v="3"/>
    <x v="1"/>
    <x v="0"/>
    <x v="3"/>
    <x v="2"/>
    <x v="3"/>
    <x v="2"/>
  </r>
  <r>
    <s v="TX500478"/>
    <x v="9"/>
    <x v="9"/>
    <n v="73.2"/>
    <n v="366"/>
    <d v="2025-01-21T00:00:00"/>
    <d v="2025-01-22T00:00:00"/>
    <s v="F"/>
    <x v="1"/>
    <x v="4"/>
    <x v="0"/>
    <x v="3"/>
    <x v="3"/>
    <x v="3"/>
    <x v="2"/>
  </r>
  <r>
    <s v="TX500479"/>
    <x v="15"/>
    <x v="1"/>
    <n v="48.6"/>
    <n v="97.2"/>
    <d v="2025-01-21T00:00:00"/>
    <d v="2025-01-25T00:00:00"/>
    <s v="F"/>
    <x v="3"/>
    <x v="0"/>
    <x v="0"/>
    <x v="3"/>
    <x v="5"/>
    <x v="3"/>
    <x v="2"/>
  </r>
  <r>
    <s v="TX500480"/>
    <x v="0"/>
    <x v="13"/>
    <n v="48.7"/>
    <n v="292.20000000000005"/>
    <d v="2025-01-21T00:00:00"/>
    <d v="2025-01-22T00:00:00"/>
    <s v="M"/>
    <x v="0"/>
    <x v="0"/>
    <x v="0"/>
    <x v="3"/>
    <x v="3"/>
    <x v="3"/>
    <x v="1"/>
  </r>
  <r>
    <s v="TX500481"/>
    <x v="4"/>
    <x v="1"/>
    <n v="32.200000000000003"/>
    <n v="64.400000000000006"/>
    <d v="2025-01-21T00:00:00"/>
    <d v="2025-01-24T00:00:00"/>
    <s v="M"/>
    <x v="2"/>
    <x v="2"/>
    <x v="0"/>
    <x v="3"/>
    <x v="2"/>
    <x v="3"/>
    <x v="1"/>
  </r>
  <r>
    <s v="TX500482"/>
    <x v="15"/>
    <x v="8"/>
    <n v="25.8"/>
    <n v="206.4"/>
    <d v="2025-01-21T00:00:00"/>
    <d v="2025-01-22T00:00:00"/>
    <s v="M"/>
    <x v="0"/>
    <x v="0"/>
    <x v="0"/>
    <x v="37"/>
    <x v="3"/>
    <x v="3"/>
    <x v="1"/>
  </r>
  <r>
    <s v="TX500483"/>
    <x v="6"/>
    <x v="1"/>
    <n v="94.8"/>
    <n v="189.6"/>
    <d v="2025-01-22T00:00:00"/>
    <d v="2025-01-25T00:00:00"/>
    <s v="F"/>
    <x v="1"/>
    <x v="1"/>
    <x v="0"/>
    <x v="25"/>
    <x v="2"/>
    <x v="3"/>
    <x v="2"/>
  </r>
  <r>
    <s v="TX500484"/>
    <x v="15"/>
    <x v="30"/>
    <n v="56.8"/>
    <n v="1420"/>
    <d v="2025-01-22T00:00:00"/>
    <d v="2025-01-25T00:00:00"/>
    <s v="M"/>
    <x v="0"/>
    <x v="0"/>
    <x v="0"/>
    <x v="25"/>
    <x v="2"/>
    <x v="3"/>
    <x v="1"/>
  </r>
  <r>
    <s v="TX500485"/>
    <x v="8"/>
    <x v="27"/>
    <n v="18.3"/>
    <n v="292.8"/>
    <d v="2025-01-22T00:00:00"/>
    <d v="2025-01-29T00:00:00"/>
    <s v="F"/>
    <x v="2"/>
    <x v="2"/>
    <x v="0"/>
    <x v="23"/>
    <x v="6"/>
    <x v="3"/>
    <x v="2"/>
  </r>
  <r>
    <s v="TX500486"/>
    <x v="0"/>
    <x v="2"/>
    <n v="16.8"/>
    <n v="50.400000000000006"/>
    <d v="2025-01-22T00:00:00"/>
    <d v="2025-01-27T00:00:00"/>
    <s v="F"/>
    <x v="2"/>
    <x v="2"/>
    <x v="0"/>
    <x v="8"/>
    <x v="0"/>
    <x v="3"/>
    <x v="2"/>
  </r>
  <r>
    <s v="TX500487"/>
    <x v="5"/>
    <x v="5"/>
    <n v="35.799999999999997"/>
    <n v="393.79999999999995"/>
    <d v="2025-01-22T00:00:00"/>
    <d v="2025-01-23T00:00:00"/>
    <s v="M"/>
    <x v="1"/>
    <x v="0"/>
    <x v="0"/>
    <x v="17"/>
    <x v="3"/>
    <x v="3"/>
    <x v="1"/>
  </r>
  <r>
    <s v="TX500488"/>
    <x v="18"/>
    <x v="0"/>
    <n v="64.900000000000006"/>
    <n v="64.900000000000006"/>
    <d v="2025-01-22T00:00:00"/>
    <d v="2025-01-23T00:00:00"/>
    <s v="M"/>
    <x v="0"/>
    <x v="1"/>
    <x v="0"/>
    <x v="17"/>
    <x v="3"/>
    <x v="3"/>
    <x v="1"/>
  </r>
  <r>
    <s v="TX500489"/>
    <x v="18"/>
    <x v="0"/>
    <n v="28.5"/>
    <n v="28.5"/>
    <d v="2025-01-22T00:00:00"/>
    <d v="2025-01-24T00:00:00"/>
    <s v=""/>
    <x v="1"/>
    <x v="0"/>
    <x v="0"/>
    <x v="9"/>
    <x v="1"/>
    <x v="3"/>
    <x v="0"/>
  </r>
  <r>
    <s v="TX500490"/>
    <x v="18"/>
    <x v="1"/>
    <n v="103.5"/>
    <n v="207"/>
    <d v="2025-01-22T00:00:00"/>
    <d v="2025-01-24T00:00:00"/>
    <s v="F"/>
    <x v="1"/>
    <x v="0"/>
    <x v="0"/>
    <x v="10"/>
    <x v="1"/>
    <x v="3"/>
    <x v="2"/>
  </r>
  <r>
    <s v="TX500491"/>
    <x v="4"/>
    <x v="1"/>
    <n v="41.2"/>
    <n v="82.4"/>
    <d v="2025-01-22T00:00:00"/>
    <d v="2025-01-23T00:00:00"/>
    <s v="F"/>
    <x v="1"/>
    <x v="0"/>
    <x v="0"/>
    <x v="10"/>
    <x v="3"/>
    <x v="3"/>
    <x v="2"/>
  </r>
  <r>
    <s v="TX500492"/>
    <x v="9"/>
    <x v="0"/>
    <n v="37.799999999999997"/>
    <n v="37.799999999999997"/>
    <d v="2025-01-22T00:00:00"/>
    <d v="2025-01-24T00:00:00"/>
    <s v="F"/>
    <x v="3"/>
    <x v="3"/>
    <x v="0"/>
    <x v="11"/>
    <x v="1"/>
    <x v="3"/>
    <x v="2"/>
  </r>
  <r>
    <s v="TX500493"/>
    <x v="8"/>
    <x v="1"/>
    <n v="42.6"/>
    <n v="85.2"/>
    <d v="2025-01-22T00:00:00"/>
    <d v="2025-01-24T00:00:00"/>
    <s v="F"/>
    <x v="4"/>
    <x v="0"/>
    <x v="0"/>
    <x v="11"/>
    <x v="1"/>
    <x v="3"/>
    <x v="2"/>
  </r>
  <r>
    <s v="TX500494"/>
    <x v="8"/>
    <x v="7"/>
    <n v="15.2"/>
    <n v="152"/>
    <d v="2025-01-22T00:00:00"/>
    <d v="2025-01-24T00:00:00"/>
    <s v="F"/>
    <x v="2"/>
    <x v="0"/>
    <x v="0"/>
    <x v="11"/>
    <x v="1"/>
    <x v="3"/>
    <x v="2"/>
  </r>
  <r>
    <s v="TX500495"/>
    <x v="7"/>
    <x v="12"/>
    <n v="83.4"/>
    <n v="333.6"/>
    <d v="2025-01-22T00:00:00"/>
    <d v="2025-01-23T00:00:00"/>
    <s v="F"/>
    <x v="2"/>
    <x v="1"/>
    <x v="0"/>
    <x v="18"/>
    <x v="3"/>
    <x v="3"/>
    <x v="2"/>
  </r>
  <r>
    <s v="TX500496"/>
    <x v="19"/>
    <x v="1"/>
    <n v="27.7"/>
    <n v="55.4"/>
    <d v="2025-01-22T00:00:00"/>
    <d v="2025-01-23T00:00:00"/>
    <s v="F"/>
    <x v="0"/>
    <x v="1"/>
    <x v="0"/>
    <x v="13"/>
    <x v="3"/>
    <x v="3"/>
    <x v="2"/>
  </r>
  <r>
    <s v="TX500497"/>
    <x v="10"/>
    <x v="4"/>
    <n v="20.8"/>
    <n v="249.60000000000002"/>
    <d v="2025-01-22T00:00:00"/>
    <d v="2025-01-23T00:00:00"/>
    <s v="M"/>
    <x v="3"/>
    <x v="0"/>
    <x v="0"/>
    <x v="13"/>
    <x v="3"/>
    <x v="3"/>
    <x v="1"/>
  </r>
  <r>
    <s v="TX500498"/>
    <x v="11"/>
    <x v="1"/>
    <n v="72.7"/>
    <n v="145.4"/>
    <d v="2025-01-22T00:00:00"/>
    <d v="2025-01-26T00:00:00"/>
    <s v="F"/>
    <x v="4"/>
    <x v="2"/>
    <x v="0"/>
    <x v="44"/>
    <x v="5"/>
    <x v="3"/>
    <x v="2"/>
  </r>
  <r>
    <s v="TX500499"/>
    <x v="10"/>
    <x v="12"/>
    <n v="38.6"/>
    <n v="154.4"/>
    <d v="2025-01-22T00:00:00"/>
    <d v="2025-01-23T00:00:00"/>
    <s v="M"/>
    <x v="0"/>
    <x v="2"/>
    <x v="0"/>
    <x v="22"/>
    <x v="3"/>
    <x v="3"/>
    <x v="1"/>
  </r>
  <r>
    <s v="TX500500"/>
    <x v="8"/>
    <x v="3"/>
    <n v="33.1"/>
    <n v="231.70000000000002"/>
    <d v="2025-01-22T00:00:00"/>
    <d v="2025-01-23T00:00:00"/>
    <s v="O"/>
    <x v="4"/>
    <x v="3"/>
    <x v="0"/>
    <x v="3"/>
    <x v="3"/>
    <x v="3"/>
    <x v="3"/>
  </r>
  <r>
    <s v="TX500501"/>
    <x v="10"/>
    <x v="1"/>
    <n v="30.5"/>
    <n v="61"/>
    <d v="2025-01-22T00:00:00"/>
    <d v="2025-01-22T00:00:00"/>
    <s v=""/>
    <x v="1"/>
    <x v="1"/>
    <x v="0"/>
    <x v="3"/>
    <x v="7"/>
    <x v="3"/>
    <x v="0"/>
  </r>
  <r>
    <s v="TX500502"/>
    <x v="9"/>
    <x v="1"/>
    <n v="69.599999999999994"/>
    <n v="139.19999999999999"/>
    <d v="2025-01-22T00:00:00"/>
    <d v="2025-01-23T00:00:00"/>
    <s v="M"/>
    <x v="0"/>
    <x v="1"/>
    <x v="0"/>
    <x v="3"/>
    <x v="3"/>
    <x v="3"/>
    <x v="1"/>
  </r>
  <r>
    <s v="TX500503"/>
    <x v="11"/>
    <x v="0"/>
    <n v="42.4"/>
    <n v="42.4"/>
    <d v="2025-01-22T00:00:00"/>
    <d v="2025-01-26T00:00:00"/>
    <s v="F"/>
    <x v="1"/>
    <x v="0"/>
    <x v="0"/>
    <x v="3"/>
    <x v="5"/>
    <x v="3"/>
    <x v="2"/>
  </r>
  <r>
    <s v="TX500504"/>
    <x v="17"/>
    <x v="0"/>
    <n v="32.200000000000003"/>
    <n v="32.200000000000003"/>
    <d v="2025-01-22T00:00:00"/>
    <d v="2025-01-25T00:00:00"/>
    <s v="F"/>
    <x v="2"/>
    <x v="1"/>
    <x v="0"/>
    <x v="3"/>
    <x v="2"/>
    <x v="3"/>
    <x v="2"/>
  </r>
  <r>
    <s v="TX500505"/>
    <x v="6"/>
    <x v="1"/>
    <n v="41.5"/>
    <n v="83"/>
    <d v="2025-01-22T00:00:00"/>
    <d v="2025-01-25T00:00:00"/>
    <s v="F"/>
    <x v="0"/>
    <x v="2"/>
    <x v="0"/>
    <x v="3"/>
    <x v="2"/>
    <x v="3"/>
    <x v="2"/>
  </r>
  <r>
    <s v="TX500506"/>
    <x v="16"/>
    <x v="11"/>
    <n v="58.9"/>
    <n v="530.1"/>
    <d v="2025-01-22T00:00:00"/>
    <d v="2025-01-26T00:00:00"/>
    <s v="F"/>
    <x v="3"/>
    <x v="0"/>
    <x v="0"/>
    <x v="3"/>
    <x v="5"/>
    <x v="3"/>
    <x v="2"/>
  </r>
  <r>
    <s v="TX500507"/>
    <x v="2"/>
    <x v="0"/>
    <n v="57.1"/>
    <n v="57.1"/>
    <d v="2025-01-22T00:00:00"/>
    <d v="2025-01-25T00:00:00"/>
    <s v="F"/>
    <x v="1"/>
    <x v="0"/>
    <x v="0"/>
    <x v="3"/>
    <x v="2"/>
    <x v="3"/>
    <x v="2"/>
  </r>
  <r>
    <s v="TX500508"/>
    <x v="6"/>
    <x v="0"/>
    <n v="57.2"/>
    <n v="57.2"/>
    <d v="2025-01-22T00:00:00"/>
    <d v="2025-01-24T00:00:00"/>
    <s v="M"/>
    <x v="1"/>
    <x v="0"/>
    <x v="0"/>
    <x v="3"/>
    <x v="1"/>
    <x v="3"/>
    <x v="1"/>
  </r>
  <r>
    <s v="TX500509"/>
    <x v="8"/>
    <x v="1"/>
    <n v="35.1"/>
    <n v="70.2"/>
    <d v="2025-01-22T00:00:00"/>
    <d v="2025-01-23T00:00:00"/>
    <s v="M"/>
    <x v="1"/>
    <x v="0"/>
    <x v="0"/>
    <x v="6"/>
    <x v="3"/>
    <x v="3"/>
    <x v="1"/>
  </r>
  <r>
    <s v="TX500510"/>
    <x v="1"/>
    <x v="0"/>
    <n v="52.1"/>
    <n v="52.1"/>
    <d v="2025-01-22T00:00:00"/>
    <d v="2025-01-24T00:00:00"/>
    <s v="F"/>
    <x v="4"/>
    <x v="1"/>
    <x v="0"/>
    <x v="8"/>
    <x v="1"/>
    <x v="3"/>
    <x v="2"/>
  </r>
  <r>
    <s v="TX500511"/>
    <x v="13"/>
    <x v="2"/>
    <n v="59.8"/>
    <n v="179.39999999999998"/>
    <d v="2025-01-22T00:00:00"/>
    <d v="2025-01-24T00:00:00"/>
    <s v="F"/>
    <x v="4"/>
    <x v="1"/>
    <x v="0"/>
    <x v="8"/>
    <x v="1"/>
    <x v="3"/>
    <x v="2"/>
  </r>
  <r>
    <s v="TX500512"/>
    <x v="3"/>
    <x v="12"/>
    <n v="83.3"/>
    <n v="333.2"/>
    <d v="2025-01-22T00:00:00"/>
    <d v="2025-01-22T00:00:00"/>
    <s v=""/>
    <x v="2"/>
    <x v="0"/>
    <x v="0"/>
    <x v="8"/>
    <x v="7"/>
    <x v="3"/>
    <x v="0"/>
  </r>
  <r>
    <s v="TX500513"/>
    <x v="15"/>
    <x v="4"/>
    <n v="41.3"/>
    <n v="495.59999999999997"/>
    <d v="2025-01-22T00:00:00"/>
    <d v="2025-01-23T00:00:00"/>
    <s v="F"/>
    <x v="1"/>
    <x v="0"/>
    <x v="0"/>
    <x v="8"/>
    <x v="3"/>
    <x v="3"/>
    <x v="2"/>
  </r>
  <r>
    <s v="TX500514"/>
    <x v="8"/>
    <x v="9"/>
    <n v="16"/>
    <n v="80"/>
    <d v="2025-01-22T00:00:00"/>
    <d v="2025-01-24T00:00:00"/>
    <s v="M"/>
    <x v="4"/>
    <x v="1"/>
    <x v="0"/>
    <x v="9"/>
    <x v="1"/>
    <x v="3"/>
    <x v="1"/>
  </r>
  <r>
    <s v="TX500515"/>
    <x v="10"/>
    <x v="1"/>
    <n v="20.8"/>
    <n v="41.6"/>
    <d v="2025-01-23T00:00:00"/>
    <d v="2025-01-25T00:00:00"/>
    <s v="M"/>
    <x v="0"/>
    <x v="2"/>
    <x v="0"/>
    <x v="11"/>
    <x v="1"/>
    <x v="3"/>
    <x v="1"/>
  </r>
  <r>
    <s v="TX500516"/>
    <x v="8"/>
    <x v="31"/>
    <n v="27.1"/>
    <n v="758.80000000000007"/>
    <d v="2025-01-23T00:00:00"/>
    <d v="2025-01-24T00:00:00"/>
    <s v=""/>
    <x v="3"/>
    <x v="2"/>
    <x v="0"/>
    <x v="11"/>
    <x v="3"/>
    <x v="3"/>
    <x v="0"/>
  </r>
  <r>
    <s v="TX500517"/>
    <x v="10"/>
    <x v="1"/>
    <n v="38.9"/>
    <n v="77.8"/>
    <d v="2025-01-23T00:00:00"/>
    <d v="2025-01-25T00:00:00"/>
    <s v="F"/>
    <x v="0"/>
    <x v="0"/>
    <x v="0"/>
    <x v="18"/>
    <x v="1"/>
    <x v="3"/>
    <x v="2"/>
  </r>
  <r>
    <s v="TX500518"/>
    <x v="0"/>
    <x v="1"/>
    <n v="10.8"/>
    <n v="21.6"/>
    <d v="2025-01-23T00:00:00"/>
    <d v="2025-01-26T00:00:00"/>
    <s v="F"/>
    <x v="1"/>
    <x v="2"/>
    <x v="0"/>
    <x v="45"/>
    <x v="2"/>
    <x v="3"/>
    <x v="2"/>
  </r>
  <r>
    <s v="TX500519"/>
    <x v="4"/>
    <x v="15"/>
    <n v="48.4"/>
    <n v="629.19999999999993"/>
    <d v="2025-01-23T00:00:00"/>
    <d v="2025-01-27T00:00:00"/>
    <s v="F"/>
    <x v="0"/>
    <x v="0"/>
    <x v="0"/>
    <x v="21"/>
    <x v="5"/>
    <x v="3"/>
    <x v="2"/>
  </r>
  <r>
    <s v="TX500520"/>
    <x v="4"/>
    <x v="2"/>
    <n v="29.2"/>
    <n v="87.6"/>
    <d v="2025-01-23T00:00:00"/>
    <d v="2025-01-26T00:00:00"/>
    <s v="F"/>
    <x v="1"/>
    <x v="1"/>
    <x v="0"/>
    <x v="2"/>
    <x v="2"/>
    <x v="3"/>
    <x v="2"/>
  </r>
  <r>
    <s v="TX500521"/>
    <x v="4"/>
    <x v="1"/>
    <n v="25.1"/>
    <n v="50.2"/>
    <d v="2025-01-23T00:00:00"/>
    <d v="2025-01-24T00:00:00"/>
    <s v="M"/>
    <x v="0"/>
    <x v="1"/>
    <x v="0"/>
    <x v="2"/>
    <x v="3"/>
    <x v="3"/>
    <x v="1"/>
  </r>
  <r>
    <s v="TX500522"/>
    <x v="7"/>
    <x v="2"/>
    <n v="65.599999999999994"/>
    <n v="196.79999999999998"/>
    <d v="2025-01-23T00:00:00"/>
    <d v="2025-01-23T00:00:00"/>
    <s v="F"/>
    <x v="2"/>
    <x v="1"/>
    <x v="0"/>
    <x v="3"/>
    <x v="7"/>
    <x v="3"/>
    <x v="2"/>
  </r>
  <r>
    <s v="TX500523"/>
    <x v="2"/>
    <x v="1"/>
    <n v="57.3"/>
    <n v="114.6"/>
    <d v="2025-01-23T00:00:00"/>
    <d v="2025-01-23T00:00:00"/>
    <s v=""/>
    <x v="0"/>
    <x v="0"/>
    <x v="0"/>
    <x v="3"/>
    <x v="7"/>
    <x v="3"/>
    <x v="0"/>
  </r>
  <r>
    <s v="TX500524"/>
    <x v="9"/>
    <x v="12"/>
    <n v="22.4"/>
    <n v="89.6"/>
    <d v="2025-01-23T00:00:00"/>
    <d v="2025-01-24T00:00:00"/>
    <s v="F"/>
    <x v="2"/>
    <x v="2"/>
    <x v="0"/>
    <x v="3"/>
    <x v="3"/>
    <x v="3"/>
    <x v="2"/>
  </r>
  <r>
    <s v="TX500525"/>
    <x v="12"/>
    <x v="11"/>
    <n v="45.7"/>
    <n v="411.3"/>
    <d v="2025-01-23T00:00:00"/>
    <d v="2025-01-24T00:00:00"/>
    <s v="F"/>
    <x v="0"/>
    <x v="0"/>
    <x v="0"/>
    <x v="3"/>
    <x v="3"/>
    <x v="3"/>
    <x v="2"/>
  </r>
  <r>
    <s v="TX500526"/>
    <x v="8"/>
    <x v="1"/>
    <n v="29.3"/>
    <n v="58.6"/>
    <d v="2025-01-23T00:00:00"/>
    <d v="2025-01-24T00:00:00"/>
    <s v="M"/>
    <x v="1"/>
    <x v="0"/>
    <x v="0"/>
    <x v="3"/>
    <x v="3"/>
    <x v="3"/>
    <x v="1"/>
  </r>
  <r>
    <s v="TX500527"/>
    <x v="18"/>
    <x v="32"/>
    <n v="74"/>
    <n v="1628"/>
    <d v="2025-01-23T00:00:00"/>
    <d v="2025-01-24T00:00:00"/>
    <s v="M"/>
    <x v="0"/>
    <x v="2"/>
    <x v="0"/>
    <x v="3"/>
    <x v="3"/>
    <x v="3"/>
    <x v="1"/>
  </r>
  <r>
    <s v="TX500528"/>
    <x v="14"/>
    <x v="1"/>
    <n v="39.200000000000003"/>
    <n v="78.400000000000006"/>
    <d v="2025-01-23T00:00:00"/>
    <d v="2025-01-25T00:00:00"/>
    <s v="F"/>
    <x v="1"/>
    <x v="0"/>
    <x v="0"/>
    <x v="3"/>
    <x v="1"/>
    <x v="3"/>
    <x v="2"/>
  </r>
  <r>
    <s v="TX500529"/>
    <x v="4"/>
    <x v="14"/>
    <n v="62.7"/>
    <n v="1065.9000000000001"/>
    <d v="2025-01-23T00:00:00"/>
    <d v="2025-01-24T00:00:00"/>
    <s v="F"/>
    <x v="2"/>
    <x v="1"/>
    <x v="0"/>
    <x v="3"/>
    <x v="3"/>
    <x v="3"/>
    <x v="2"/>
  </r>
  <r>
    <s v="TX500530"/>
    <x v="10"/>
    <x v="1"/>
    <n v="60.1"/>
    <n v="120.2"/>
    <d v="2025-01-23T00:00:00"/>
    <d v="2025-01-24T00:00:00"/>
    <s v="F"/>
    <x v="3"/>
    <x v="0"/>
    <x v="0"/>
    <x v="3"/>
    <x v="3"/>
    <x v="3"/>
    <x v="2"/>
  </r>
  <r>
    <s v="TX500531"/>
    <x v="0"/>
    <x v="12"/>
    <n v="11.2"/>
    <n v="44.8"/>
    <d v="2025-01-23T00:00:00"/>
    <d v="2025-01-24T00:00:00"/>
    <s v="F"/>
    <x v="3"/>
    <x v="1"/>
    <x v="0"/>
    <x v="3"/>
    <x v="3"/>
    <x v="3"/>
    <x v="2"/>
  </r>
  <r>
    <s v="TX500532"/>
    <x v="8"/>
    <x v="1"/>
    <n v="22.9"/>
    <n v="45.8"/>
    <d v="2025-01-23T00:00:00"/>
    <d v="2025-01-24T00:00:00"/>
    <s v="F"/>
    <x v="0"/>
    <x v="0"/>
    <x v="0"/>
    <x v="6"/>
    <x v="3"/>
    <x v="3"/>
    <x v="2"/>
  </r>
  <r>
    <s v="TX500533"/>
    <x v="1"/>
    <x v="1"/>
    <n v="37.6"/>
    <n v="75.2"/>
    <d v="2025-01-23T00:00:00"/>
    <d v="2025-01-26T00:00:00"/>
    <s v="F"/>
    <x v="0"/>
    <x v="0"/>
    <x v="0"/>
    <x v="6"/>
    <x v="2"/>
    <x v="3"/>
    <x v="2"/>
  </r>
  <r>
    <s v="TX500534"/>
    <x v="6"/>
    <x v="0"/>
    <n v="42.4"/>
    <n v="42.4"/>
    <d v="2025-01-23T00:00:00"/>
    <d v="2025-01-24T00:00:00"/>
    <s v="F"/>
    <x v="3"/>
    <x v="2"/>
    <x v="0"/>
    <x v="6"/>
    <x v="3"/>
    <x v="3"/>
    <x v="2"/>
  </r>
  <r>
    <s v="TX500535"/>
    <x v="8"/>
    <x v="1"/>
    <n v="19.600000000000001"/>
    <n v="39.200000000000003"/>
    <d v="2025-01-23T00:00:00"/>
    <d v="2025-01-27T00:00:00"/>
    <s v="F"/>
    <x v="2"/>
    <x v="0"/>
    <x v="0"/>
    <x v="7"/>
    <x v="5"/>
    <x v="3"/>
    <x v="2"/>
  </r>
  <r>
    <s v="TX500536"/>
    <x v="9"/>
    <x v="0"/>
    <n v="90.5"/>
    <n v="90.5"/>
    <d v="2025-01-23T00:00:00"/>
    <d v="2025-01-26T00:00:00"/>
    <s v="F"/>
    <x v="2"/>
    <x v="0"/>
    <x v="0"/>
    <x v="7"/>
    <x v="2"/>
    <x v="3"/>
    <x v="2"/>
  </r>
  <r>
    <s v="TX500537"/>
    <x v="16"/>
    <x v="5"/>
    <n v="33.9"/>
    <n v="372.9"/>
    <d v="2025-01-23T00:00:00"/>
    <d v="2025-01-24T00:00:00"/>
    <s v="M"/>
    <x v="2"/>
    <x v="1"/>
    <x v="0"/>
    <x v="7"/>
    <x v="3"/>
    <x v="3"/>
    <x v="1"/>
  </r>
  <r>
    <s v="TX500538"/>
    <x v="0"/>
    <x v="1"/>
    <n v="32.799999999999997"/>
    <n v="65.599999999999994"/>
    <d v="2025-01-23T00:00:00"/>
    <d v="2025-01-25T00:00:00"/>
    <s v="F"/>
    <x v="4"/>
    <x v="4"/>
    <x v="0"/>
    <x v="8"/>
    <x v="1"/>
    <x v="3"/>
    <x v="2"/>
  </r>
  <r>
    <s v="TX500539"/>
    <x v="15"/>
    <x v="0"/>
    <n v="49.9"/>
    <n v="49.9"/>
    <d v="2025-01-23T00:00:00"/>
    <d v="2025-01-24T00:00:00"/>
    <s v="M"/>
    <x v="3"/>
    <x v="1"/>
    <x v="0"/>
    <x v="8"/>
    <x v="3"/>
    <x v="3"/>
    <x v="1"/>
  </r>
  <r>
    <s v="TX500540"/>
    <x v="7"/>
    <x v="9"/>
    <n v="79.2"/>
    <n v="396"/>
    <d v="2025-01-23T00:00:00"/>
    <d v="2025-01-24T00:00:00"/>
    <s v="F"/>
    <x v="4"/>
    <x v="0"/>
    <x v="0"/>
    <x v="8"/>
    <x v="3"/>
    <x v="3"/>
    <x v="2"/>
  </r>
  <r>
    <s v="TX500541"/>
    <x v="8"/>
    <x v="27"/>
    <n v="19.5"/>
    <n v="312"/>
    <d v="2025-01-23T00:00:00"/>
    <d v="2025-01-25T00:00:00"/>
    <s v="M"/>
    <x v="3"/>
    <x v="2"/>
    <x v="0"/>
    <x v="8"/>
    <x v="1"/>
    <x v="3"/>
    <x v="1"/>
  </r>
  <r>
    <s v="TX500542"/>
    <x v="8"/>
    <x v="12"/>
    <n v="18"/>
    <n v="72"/>
    <d v="2025-01-23T00:00:00"/>
    <d v="2025-01-24T00:00:00"/>
    <s v="M"/>
    <x v="1"/>
    <x v="0"/>
    <x v="0"/>
    <x v="10"/>
    <x v="3"/>
    <x v="3"/>
    <x v="1"/>
  </r>
  <r>
    <s v="TX500543"/>
    <x v="9"/>
    <x v="2"/>
    <n v="45.9"/>
    <n v="137.69999999999999"/>
    <d v="2025-01-23T00:00:00"/>
    <d v="2025-01-25T00:00:00"/>
    <s v="F"/>
    <x v="1"/>
    <x v="1"/>
    <x v="0"/>
    <x v="10"/>
    <x v="1"/>
    <x v="3"/>
    <x v="2"/>
  </r>
  <r>
    <s v="TX500544"/>
    <x v="11"/>
    <x v="0"/>
    <n v="41.2"/>
    <n v="41.2"/>
    <d v="2025-01-23T00:00:00"/>
    <d v="2025-01-25T00:00:00"/>
    <s v="F"/>
    <x v="1"/>
    <x v="2"/>
    <x v="0"/>
    <x v="11"/>
    <x v="1"/>
    <x v="3"/>
    <x v="2"/>
  </r>
  <r>
    <s v="TX500545"/>
    <x v="2"/>
    <x v="7"/>
    <n v="167.2"/>
    <n v="1672"/>
    <d v="2025-01-23T00:00:00"/>
    <d v="2025-01-25T00:00:00"/>
    <s v="F"/>
    <x v="2"/>
    <x v="2"/>
    <x v="0"/>
    <x v="32"/>
    <x v="1"/>
    <x v="3"/>
    <x v="2"/>
  </r>
  <r>
    <s v="TX500546"/>
    <x v="6"/>
    <x v="17"/>
    <n v="74.5"/>
    <n v="2235"/>
    <d v="2025-01-24T00:00:00"/>
    <d v="2025-01-27T00:00:00"/>
    <s v="F"/>
    <x v="1"/>
    <x v="2"/>
    <x v="0"/>
    <x v="38"/>
    <x v="2"/>
    <x v="3"/>
    <x v="2"/>
  </r>
  <r>
    <s v="TX500547"/>
    <x v="7"/>
    <x v="12"/>
    <n v="39.299999999999997"/>
    <n v="157.19999999999999"/>
    <d v="2025-01-24T00:00:00"/>
    <d v="2025-01-25T00:00:00"/>
    <s v=""/>
    <x v="2"/>
    <x v="0"/>
    <x v="0"/>
    <x v="19"/>
    <x v="3"/>
    <x v="3"/>
    <x v="0"/>
  </r>
  <r>
    <s v="TX500548"/>
    <x v="9"/>
    <x v="0"/>
    <n v="68.5"/>
    <n v="68.5"/>
    <d v="2025-01-24T00:00:00"/>
    <d v="2025-01-27T00:00:00"/>
    <s v="M"/>
    <x v="1"/>
    <x v="2"/>
    <x v="0"/>
    <x v="12"/>
    <x v="2"/>
    <x v="3"/>
    <x v="1"/>
  </r>
  <r>
    <s v="TX500549"/>
    <x v="0"/>
    <x v="2"/>
    <n v="22.5"/>
    <n v="67.5"/>
    <d v="2025-01-24T00:00:00"/>
    <d v="2025-01-24T00:00:00"/>
    <s v="F"/>
    <x v="4"/>
    <x v="0"/>
    <x v="0"/>
    <x v="13"/>
    <x v="7"/>
    <x v="3"/>
    <x v="2"/>
  </r>
  <r>
    <s v="TX500550"/>
    <x v="1"/>
    <x v="0"/>
    <n v="48"/>
    <n v="48"/>
    <d v="2025-01-24T00:00:00"/>
    <d v="2025-01-25T00:00:00"/>
    <s v="O"/>
    <x v="4"/>
    <x v="1"/>
    <x v="0"/>
    <x v="46"/>
    <x v="3"/>
    <x v="3"/>
    <x v="3"/>
  </r>
  <r>
    <s v="TX500551"/>
    <x v="6"/>
    <x v="0"/>
    <n v="94"/>
    <n v="94"/>
    <d v="2025-01-24T00:00:00"/>
    <d v="2025-01-25T00:00:00"/>
    <s v="M"/>
    <x v="3"/>
    <x v="1"/>
    <x v="0"/>
    <x v="1"/>
    <x v="3"/>
    <x v="3"/>
    <x v="1"/>
  </r>
  <r>
    <s v="TX500552"/>
    <x v="8"/>
    <x v="2"/>
    <n v="21.9"/>
    <n v="65.699999999999989"/>
    <d v="2025-01-24T00:00:00"/>
    <d v="2025-01-25T00:00:00"/>
    <s v="F"/>
    <x v="0"/>
    <x v="0"/>
    <x v="0"/>
    <x v="44"/>
    <x v="3"/>
    <x v="3"/>
    <x v="2"/>
  </r>
  <r>
    <s v="TX500553"/>
    <x v="6"/>
    <x v="3"/>
    <n v="64.900000000000006"/>
    <n v="454.30000000000007"/>
    <d v="2025-01-24T00:00:00"/>
    <d v="2025-01-25T00:00:00"/>
    <s v="F"/>
    <x v="0"/>
    <x v="0"/>
    <x v="0"/>
    <x v="3"/>
    <x v="3"/>
    <x v="3"/>
    <x v="2"/>
  </r>
  <r>
    <s v="TX500554"/>
    <x v="12"/>
    <x v="0"/>
    <n v="52.9"/>
    <n v="52.9"/>
    <d v="2025-01-24T00:00:00"/>
    <d v="2025-01-24T00:00:00"/>
    <s v="F"/>
    <x v="1"/>
    <x v="1"/>
    <x v="0"/>
    <x v="3"/>
    <x v="7"/>
    <x v="3"/>
    <x v="2"/>
  </r>
  <r>
    <s v="TX500555"/>
    <x v="8"/>
    <x v="2"/>
    <n v="25.5"/>
    <n v="76.5"/>
    <d v="2025-01-24T00:00:00"/>
    <d v="2025-01-25T00:00:00"/>
    <s v="F"/>
    <x v="1"/>
    <x v="2"/>
    <x v="0"/>
    <x v="3"/>
    <x v="3"/>
    <x v="3"/>
    <x v="2"/>
  </r>
  <r>
    <s v="TX500556"/>
    <x v="6"/>
    <x v="2"/>
    <n v="51.9"/>
    <n v="155.69999999999999"/>
    <d v="2025-01-24T00:00:00"/>
    <d v="2025-01-25T00:00:00"/>
    <s v="F"/>
    <x v="3"/>
    <x v="0"/>
    <x v="0"/>
    <x v="3"/>
    <x v="3"/>
    <x v="3"/>
    <x v="2"/>
  </r>
  <r>
    <s v="TX500557"/>
    <x v="5"/>
    <x v="0"/>
    <n v="46.3"/>
    <n v="46.3"/>
    <d v="2025-01-24T00:00:00"/>
    <d v="2025-01-27T00:00:00"/>
    <s v="F"/>
    <x v="4"/>
    <x v="0"/>
    <x v="0"/>
    <x v="3"/>
    <x v="2"/>
    <x v="3"/>
    <x v="2"/>
  </r>
  <r>
    <s v="TX500558"/>
    <x v="6"/>
    <x v="1"/>
    <n v="68.2"/>
    <n v="136.4"/>
    <d v="2025-01-24T00:00:00"/>
    <d v="2025-01-26T00:00:00"/>
    <s v="F"/>
    <x v="3"/>
    <x v="0"/>
    <x v="0"/>
    <x v="3"/>
    <x v="1"/>
    <x v="3"/>
    <x v="2"/>
  </r>
  <r>
    <s v="TX500559"/>
    <x v="1"/>
    <x v="0"/>
    <n v="40.299999999999997"/>
    <n v="40.299999999999997"/>
    <d v="2025-01-24T00:00:00"/>
    <d v="2025-01-25T00:00:00"/>
    <s v="M"/>
    <x v="0"/>
    <x v="1"/>
    <x v="0"/>
    <x v="3"/>
    <x v="3"/>
    <x v="3"/>
    <x v="1"/>
  </r>
  <r>
    <s v="TX500560"/>
    <x v="2"/>
    <x v="2"/>
    <n v="91.3"/>
    <n v="273.89999999999998"/>
    <d v="2025-01-24T00:00:00"/>
    <d v="2025-01-29T00:00:00"/>
    <s v="M"/>
    <x v="0"/>
    <x v="2"/>
    <x v="0"/>
    <x v="6"/>
    <x v="0"/>
    <x v="3"/>
    <x v="1"/>
  </r>
  <r>
    <s v="TX500561"/>
    <x v="0"/>
    <x v="2"/>
    <n v="11.9"/>
    <n v="35.700000000000003"/>
    <d v="2025-01-24T00:00:00"/>
    <d v="2025-01-25T00:00:00"/>
    <s v="F"/>
    <x v="0"/>
    <x v="1"/>
    <x v="0"/>
    <x v="6"/>
    <x v="3"/>
    <x v="3"/>
    <x v="2"/>
  </r>
  <r>
    <s v="TX500562"/>
    <x v="2"/>
    <x v="1"/>
    <n v="63.5"/>
    <n v="127"/>
    <d v="2025-01-24T00:00:00"/>
    <d v="2025-01-26T00:00:00"/>
    <s v="M"/>
    <x v="1"/>
    <x v="0"/>
    <x v="0"/>
    <x v="6"/>
    <x v="1"/>
    <x v="3"/>
    <x v="1"/>
  </r>
  <r>
    <s v="TX500563"/>
    <x v="4"/>
    <x v="1"/>
    <n v="27.1"/>
    <n v="54.2"/>
    <d v="2025-01-24T00:00:00"/>
    <d v="2025-01-27T00:00:00"/>
    <s v="M"/>
    <x v="2"/>
    <x v="2"/>
    <x v="0"/>
    <x v="6"/>
    <x v="2"/>
    <x v="3"/>
    <x v="1"/>
  </r>
  <r>
    <s v="TX500564"/>
    <x v="1"/>
    <x v="1"/>
    <n v="82.1"/>
    <n v="164.2"/>
    <d v="2025-01-25T00:00:00"/>
    <d v="2025-01-28T00:00:00"/>
    <s v="M"/>
    <x v="1"/>
    <x v="1"/>
    <x v="0"/>
    <x v="7"/>
    <x v="2"/>
    <x v="3"/>
    <x v="1"/>
  </r>
  <r>
    <s v="TX500565"/>
    <x v="3"/>
    <x v="9"/>
    <n v="42.9"/>
    <n v="214.5"/>
    <d v="2025-01-25T00:00:00"/>
    <d v="2025-01-27T00:00:00"/>
    <s v="F"/>
    <x v="1"/>
    <x v="0"/>
    <x v="0"/>
    <x v="8"/>
    <x v="1"/>
    <x v="3"/>
    <x v="2"/>
  </r>
  <r>
    <s v="TX500566"/>
    <x v="8"/>
    <x v="5"/>
    <n v="37.9"/>
    <n v="416.9"/>
    <d v="2025-01-25T00:00:00"/>
    <d v="2025-02-01T00:00:00"/>
    <s v="M"/>
    <x v="0"/>
    <x v="0"/>
    <x v="0"/>
    <x v="8"/>
    <x v="6"/>
    <x v="3"/>
    <x v="1"/>
  </r>
  <r>
    <s v="TX500567"/>
    <x v="0"/>
    <x v="0"/>
    <n v="22.4"/>
    <n v="22.4"/>
    <d v="2025-01-25T00:00:00"/>
    <d v="2025-01-26T00:00:00"/>
    <s v="F"/>
    <x v="0"/>
    <x v="1"/>
    <x v="0"/>
    <x v="17"/>
    <x v="3"/>
    <x v="3"/>
    <x v="2"/>
  </r>
  <r>
    <s v="TX500568"/>
    <x v="2"/>
    <x v="15"/>
    <n v="79.900000000000006"/>
    <n v="1038.7"/>
    <d v="2025-01-25T00:00:00"/>
    <d v="2025-02-07T00:00:00"/>
    <s v="F"/>
    <x v="3"/>
    <x v="1"/>
    <x v="0"/>
    <x v="11"/>
    <x v="10"/>
    <x v="3"/>
    <x v="2"/>
  </r>
  <r>
    <s v="TX500569"/>
    <x v="1"/>
    <x v="0"/>
    <n v="70.599999999999994"/>
    <n v="70.599999999999994"/>
    <d v="2025-01-25T00:00:00"/>
    <d v="2025-01-28T00:00:00"/>
    <s v="F"/>
    <x v="0"/>
    <x v="1"/>
    <x v="0"/>
    <x v="11"/>
    <x v="2"/>
    <x v="3"/>
    <x v="2"/>
  </r>
  <r>
    <s v="TX500570"/>
    <x v="6"/>
    <x v="0"/>
    <n v="49.5"/>
    <n v="49.5"/>
    <d v="2025-01-25T00:00:00"/>
    <d v="2025-01-27T00:00:00"/>
    <s v="M"/>
    <x v="0"/>
    <x v="0"/>
    <x v="0"/>
    <x v="13"/>
    <x v="1"/>
    <x v="3"/>
    <x v="1"/>
  </r>
  <r>
    <s v="TX500571"/>
    <x v="2"/>
    <x v="1"/>
    <n v="96.6"/>
    <n v="193.2"/>
    <d v="2025-01-25T00:00:00"/>
    <d v="2025-01-27T00:00:00"/>
    <s v="M"/>
    <x v="0"/>
    <x v="0"/>
    <x v="0"/>
    <x v="21"/>
    <x v="1"/>
    <x v="3"/>
    <x v="1"/>
  </r>
  <r>
    <s v="TX500572"/>
    <x v="6"/>
    <x v="1"/>
    <n v="52.8"/>
    <n v="105.6"/>
    <d v="2025-01-25T00:00:00"/>
    <d v="2025-01-26T00:00:00"/>
    <s v="F"/>
    <x v="1"/>
    <x v="1"/>
    <x v="0"/>
    <x v="21"/>
    <x v="3"/>
    <x v="3"/>
    <x v="2"/>
  </r>
  <r>
    <s v="TX500573"/>
    <x v="2"/>
    <x v="0"/>
    <n v="101.7"/>
    <n v="101.7"/>
    <d v="2025-01-25T00:00:00"/>
    <d v="2025-01-26T00:00:00"/>
    <s v="M"/>
    <x v="0"/>
    <x v="0"/>
    <x v="0"/>
    <x v="1"/>
    <x v="3"/>
    <x v="3"/>
    <x v="1"/>
  </r>
  <r>
    <s v="TX500574"/>
    <x v="4"/>
    <x v="9"/>
    <n v="26.9"/>
    <n v="134.5"/>
    <d v="2025-01-25T00:00:00"/>
    <d v="2025-01-30T00:00:00"/>
    <s v="F"/>
    <x v="1"/>
    <x v="1"/>
    <x v="0"/>
    <x v="22"/>
    <x v="0"/>
    <x v="3"/>
    <x v="2"/>
  </r>
  <r>
    <s v="TX500575"/>
    <x v="2"/>
    <x v="12"/>
    <n v="211"/>
    <n v="844"/>
    <d v="2025-01-25T00:00:00"/>
    <d v="2025-01-25T00:00:00"/>
    <s v="F"/>
    <x v="1"/>
    <x v="1"/>
    <x v="0"/>
    <x v="3"/>
    <x v="7"/>
    <x v="3"/>
    <x v="2"/>
  </r>
  <r>
    <s v="TX500576"/>
    <x v="0"/>
    <x v="12"/>
    <n v="21.1"/>
    <n v="84.4"/>
    <d v="2025-01-25T00:00:00"/>
    <d v="2025-01-28T00:00:00"/>
    <s v="M"/>
    <x v="4"/>
    <x v="0"/>
    <x v="0"/>
    <x v="3"/>
    <x v="2"/>
    <x v="3"/>
    <x v="1"/>
  </r>
  <r>
    <s v="TX500577"/>
    <x v="10"/>
    <x v="0"/>
    <n v="26.6"/>
    <n v="26.6"/>
    <d v="2025-01-25T00:00:00"/>
    <d v="2025-01-27T00:00:00"/>
    <s v="M"/>
    <x v="0"/>
    <x v="4"/>
    <x v="0"/>
    <x v="3"/>
    <x v="1"/>
    <x v="3"/>
    <x v="1"/>
  </r>
  <r>
    <s v="TX500578"/>
    <x v="12"/>
    <x v="12"/>
    <n v="51.2"/>
    <n v="204.8"/>
    <d v="2025-01-25T00:00:00"/>
    <d v="2025-01-26T00:00:00"/>
    <s v="F"/>
    <x v="3"/>
    <x v="0"/>
    <x v="0"/>
    <x v="47"/>
    <x v="3"/>
    <x v="3"/>
    <x v="2"/>
  </r>
  <r>
    <s v="TX500579"/>
    <x v="0"/>
    <x v="9"/>
    <n v="10.6"/>
    <n v="53"/>
    <d v="2025-01-25T00:00:00"/>
    <d v="2025-01-29T00:00:00"/>
    <s v="F"/>
    <x v="0"/>
    <x v="0"/>
    <x v="0"/>
    <x v="8"/>
    <x v="5"/>
    <x v="3"/>
    <x v="2"/>
  </r>
  <r>
    <s v="TX500580"/>
    <x v="6"/>
    <x v="2"/>
    <n v="43.4"/>
    <n v="130.19999999999999"/>
    <d v="2025-01-25T00:00:00"/>
    <d v="2025-01-28T00:00:00"/>
    <s v="F"/>
    <x v="4"/>
    <x v="0"/>
    <x v="0"/>
    <x v="8"/>
    <x v="2"/>
    <x v="3"/>
    <x v="2"/>
  </r>
  <r>
    <s v="TX500581"/>
    <x v="12"/>
    <x v="0"/>
    <n v="80"/>
    <n v="80"/>
    <d v="2025-01-25T00:00:00"/>
    <d v="2025-01-25T00:00:00"/>
    <s v="F"/>
    <x v="0"/>
    <x v="2"/>
    <x v="0"/>
    <x v="8"/>
    <x v="7"/>
    <x v="3"/>
    <x v="2"/>
  </r>
  <r>
    <s v="TX500582"/>
    <x v="10"/>
    <x v="12"/>
    <n v="64.7"/>
    <n v="258.8"/>
    <d v="2025-01-25T00:00:00"/>
    <d v="2025-01-27T00:00:00"/>
    <s v="F"/>
    <x v="1"/>
    <x v="4"/>
    <x v="0"/>
    <x v="8"/>
    <x v="1"/>
    <x v="3"/>
    <x v="2"/>
  </r>
  <r>
    <s v="TX500583"/>
    <x v="8"/>
    <x v="5"/>
    <n v="26.3"/>
    <n v="289.3"/>
    <d v="2025-01-26T00:00:00"/>
    <d v="2025-01-26T00:00:00"/>
    <s v="F"/>
    <x v="4"/>
    <x v="1"/>
    <x v="0"/>
    <x v="26"/>
    <x v="7"/>
    <x v="4"/>
    <x v="2"/>
  </r>
  <r>
    <s v="TX500584"/>
    <x v="10"/>
    <x v="0"/>
    <n v="28.5"/>
    <n v="28.5"/>
    <d v="2025-01-26T00:00:00"/>
    <d v="2025-01-26T00:00:00"/>
    <s v="M"/>
    <x v="0"/>
    <x v="1"/>
    <x v="0"/>
    <x v="9"/>
    <x v="7"/>
    <x v="4"/>
    <x v="1"/>
  </r>
  <r>
    <s v="TX500585"/>
    <x v="17"/>
    <x v="0"/>
    <n v="47.8"/>
    <n v="47.8"/>
    <d v="2025-01-26T00:00:00"/>
    <d v="2025-01-28T00:00:00"/>
    <s v="F"/>
    <x v="0"/>
    <x v="1"/>
    <x v="0"/>
    <x v="9"/>
    <x v="1"/>
    <x v="4"/>
    <x v="2"/>
  </r>
  <r>
    <s v="TX500586"/>
    <x v="10"/>
    <x v="2"/>
    <n v="42.8"/>
    <n v="128.39999999999998"/>
    <d v="2025-01-26T00:00:00"/>
    <d v="2025-01-29T00:00:00"/>
    <s v="F"/>
    <x v="4"/>
    <x v="1"/>
    <x v="0"/>
    <x v="11"/>
    <x v="2"/>
    <x v="4"/>
    <x v="2"/>
  </r>
  <r>
    <s v="TX500587"/>
    <x v="6"/>
    <x v="9"/>
    <n v="46.8"/>
    <n v="234"/>
    <d v="2025-01-26T00:00:00"/>
    <d v="2025-01-31T00:00:00"/>
    <s v="F"/>
    <x v="1"/>
    <x v="2"/>
    <x v="0"/>
    <x v="11"/>
    <x v="0"/>
    <x v="4"/>
    <x v="2"/>
  </r>
  <r>
    <s v="TX500588"/>
    <x v="1"/>
    <x v="7"/>
    <n v="64.099999999999994"/>
    <n v="641"/>
    <d v="2025-01-26T00:00:00"/>
    <d v="2025-01-27T00:00:00"/>
    <s v="M"/>
    <x v="1"/>
    <x v="0"/>
    <x v="0"/>
    <x v="11"/>
    <x v="3"/>
    <x v="4"/>
    <x v="1"/>
  </r>
  <r>
    <s v="TX500589"/>
    <x v="2"/>
    <x v="0"/>
    <n v="89.1"/>
    <n v="89.1"/>
    <d v="2025-01-26T00:00:00"/>
    <d v="2025-01-27T00:00:00"/>
    <s v="F"/>
    <x v="0"/>
    <x v="1"/>
    <x v="0"/>
    <x v="20"/>
    <x v="3"/>
    <x v="4"/>
    <x v="2"/>
  </r>
  <r>
    <s v="TX500590"/>
    <x v="2"/>
    <x v="2"/>
    <n v="83.1"/>
    <n v="249.29999999999998"/>
    <d v="2025-01-26T00:00:00"/>
    <d v="2025-01-27T00:00:00"/>
    <s v="F"/>
    <x v="2"/>
    <x v="1"/>
    <x v="0"/>
    <x v="13"/>
    <x v="3"/>
    <x v="4"/>
    <x v="2"/>
  </r>
  <r>
    <s v="TX500591"/>
    <x v="8"/>
    <x v="2"/>
    <n v="40.9"/>
    <n v="122.69999999999999"/>
    <d v="2025-01-26T00:00:00"/>
    <d v="2025-01-27T00:00:00"/>
    <s v="M"/>
    <x v="0"/>
    <x v="0"/>
    <x v="0"/>
    <x v="1"/>
    <x v="3"/>
    <x v="4"/>
    <x v="1"/>
  </r>
  <r>
    <s v="TX500592"/>
    <x v="2"/>
    <x v="1"/>
    <n v="125.7"/>
    <n v="251.4"/>
    <d v="2025-01-26T00:00:00"/>
    <d v="2025-01-27T00:00:00"/>
    <s v="F"/>
    <x v="3"/>
    <x v="0"/>
    <x v="0"/>
    <x v="2"/>
    <x v="3"/>
    <x v="4"/>
    <x v="2"/>
  </r>
  <r>
    <s v="TX500593"/>
    <x v="3"/>
    <x v="1"/>
    <n v="30.9"/>
    <n v="61.8"/>
    <d v="2025-01-26T00:00:00"/>
    <d v="2025-01-26T00:00:00"/>
    <s v="F"/>
    <x v="2"/>
    <x v="2"/>
    <x v="0"/>
    <x v="22"/>
    <x v="7"/>
    <x v="4"/>
    <x v="2"/>
  </r>
  <r>
    <s v="TX500594"/>
    <x v="8"/>
    <x v="1"/>
    <n v="18.3"/>
    <n v="36.6"/>
    <d v="2025-01-26T00:00:00"/>
    <d v="2025-01-27T00:00:00"/>
    <s v="F"/>
    <x v="1"/>
    <x v="0"/>
    <x v="0"/>
    <x v="3"/>
    <x v="3"/>
    <x v="4"/>
    <x v="2"/>
  </r>
  <r>
    <s v="TX500595"/>
    <x v="4"/>
    <x v="1"/>
    <n v="56.5"/>
    <n v="113"/>
    <d v="2025-01-26T00:00:00"/>
    <d v="2025-01-30T00:00:00"/>
    <s v="M"/>
    <x v="2"/>
    <x v="2"/>
    <x v="0"/>
    <x v="3"/>
    <x v="5"/>
    <x v="4"/>
    <x v="1"/>
  </r>
  <r>
    <s v="TX500596"/>
    <x v="10"/>
    <x v="3"/>
    <n v="29.9"/>
    <n v="209.29999999999998"/>
    <d v="2025-01-26T00:00:00"/>
    <d v="2025-01-28T00:00:00"/>
    <s v="M"/>
    <x v="4"/>
    <x v="2"/>
    <x v="0"/>
    <x v="3"/>
    <x v="1"/>
    <x v="4"/>
    <x v="1"/>
  </r>
  <r>
    <s v="TX500597"/>
    <x v="5"/>
    <x v="1"/>
    <n v="50.4"/>
    <n v="100.8"/>
    <d v="2025-01-26T00:00:00"/>
    <d v="2025-01-27T00:00:00"/>
    <s v="F"/>
    <x v="2"/>
    <x v="0"/>
    <x v="0"/>
    <x v="3"/>
    <x v="3"/>
    <x v="4"/>
    <x v="2"/>
  </r>
  <r>
    <s v="TX500598"/>
    <x v="2"/>
    <x v="0"/>
    <n v="85.8"/>
    <n v="85.8"/>
    <d v="2025-01-26T00:00:00"/>
    <d v="2025-01-26T00:00:00"/>
    <s v="F"/>
    <x v="2"/>
    <x v="2"/>
    <x v="0"/>
    <x v="3"/>
    <x v="7"/>
    <x v="4"/>
    <x v="2"/>
  </r>
  <r>
    <s v="TX500599"/>
    <x v="4"/>
    <x v="27"/>
    <n v="66.599999999999994"/>
    <n v="1065.5999999999999"/>
    <d v="2025-01-26T00:00:00"/>
    <d v="2025-01-28T00:00:00"/>
    <s v="M"/>
    <x v="1"/>
    <x v="0"/>
    <x v="0"/>
    <x v="3"/>
    <x v="1"/>
    <x v="4"/>
    <x v="1"/>
  </r>
  <r>
    <s v="TX500600"/>
    <x v="6"/>
    <x v="12"/>
    <n v="70.3"/>
    <n v="281.2"/>
    <d v="2025-01-26T00:00:00"/>
    <d v="2025-01-27T00:00:00"/>
    <s v="F"/>
    <x v="0"/>
    <x v="1"/>
    <x v="0"/>
    <x v="3"/>
    <x v="3"/>
    <x v="4"/>
    <x v="2"/>
  </r>
  <r>
    <s v="TX500601"/>
    <x v="8"/>
    <x v="12"/>
    <n v="31"/>
    <n v="124"/>
    <d v="2025-01-26T00:00:00"/>
    <d v="2025-01-29T00:00:00"/>
    <s v="M"/>
    <x v="0"/>
    <x v="2"/>
    <x v="0"/>
    <x v="3"/>
    <x v="2"/>
    <x v="4"/>
    <x v="1"/>
  </r>
  <r>
    <s v="TX500602"/>
    <x v="7"/>
    <x v="13"/>
    <n v="81.599999999999994"/>
    <n v="489.59999999999997"/>
    <d v="2025-01-26T00:00:00"/>
    <d v="2025-01-27T00:00:00"/>
    <s v="F"/>
    <x v="1"/>
    <x v="1"/>
    <x v="0"/>
    <x v="37"/>
    <x v="3"/>
    <x v="4"/>
    <x v="2"/>
  </r>
  <r>
    <s v="TX500603"/>
    <x v="1"/>
    <x v="30"/>
    <n v="58.3"/>
    <n v="1457.5"/>
    <d v="2025-01-26T00:00:00"/>
    <d v="2025-01-27T00:00:00"/>
    <s v="F"/>
    <x v="0"/>
    <x v="0"/>
    <x v="0"/>
    <x v="16"/>
    <x v="3"/>
    <x v="4"/>
    <x v="2"/>
  </r>
  <r>
    <s v="TX500604"/>
    <x v="1"/>
    <x v="12"/>
    <n v="35.1"/>
    <n v="140.4"/>
    <d v="2025-01-26T00:00:00"/>
    <d v="2025-01-28T00:00:00"/>
    <s v="M"/>
    <x v="0"/>
    <x v="2"/>
    <x v="0"/>
    <x v="8"/>
    <x v="1"/>
    <x v="4"/>
    <x v="1"/>
  </r>
  <r>
    <s v="TX500605"/>
    <x v="2"/>
    <x v="0"/>
    <n v="80.2"/>
    <n v="80.2"/>
    <d v="2025-01-26T00:00:00"/>
    <d v="2025-01-27T00:00:00"/>
    <s v="M"/>
    <x v="3"/>
    <x v="2"/>
    <x v="0"/>
    <x v="8"/>
    <x v="3"/>
    <x v="4"/>
    <x v="1"/>
  </r>
  <r>
    <s v="TX500606"/>
    <x v="14"/>
    <x v="2"/>
    <n v="39.200000000000003"/>
    <n v="117.60000000000001"/>
    <d v="2025-01-26T00:00:00"/>
    <d v="2025-01-28T00:00:00"/>
    <s v="F"/>
    <x v="1"/>
    <x v="0"/>
    <x v="0"/>
    <x v="9"/>
    <x v="1"/>
    <x v="4"/>
    <x v="2"/>
  </r>
  <r>
    <s v="TX500607"/>
    <x v="0"/>
    <x v="1"/>
    <n v="15.4"/>
    <n v="30.8"/>
    <d v="2025-01-26T00:00:00"/>
    <d v="2025-01-26T00:00:00"/>
    <s v="F"/>
    <x v="3"/>
    <x v="0"/>
    <x v="0"/>
    <x v="48"/>
    <x v="7"/>
    <x v="4"/>
    <x v="2"/>
  </r>
  <r>
    <s v="TX500608"/>
    <x v="3"/>
    <x v="2"/>
    <n v="65.400000000000006"/>
    <n v="196.20000000000002"/>
    <d v="2025-01-26T00:00:00"/>
    <d v="2025-01-29T00:00:00"/>
    <s v="M"/>
    <x v="3"/>
    <x v="0"/>
    <x v="0"/>
    <x v="18"/>
    <x v="2"/>
    <x v="4"/>
    <x v="1"/>
  </r>
  <r>
    <s v="TX500609"/>
    <x v="1"/>
    <x v="8"/>
    <n v="63.2"/>
    <n v="505.6"/>
    <d v="2025-01-26T00:00:00"/>
    <d v="2025-01-28T00:00:00"/>
    <s v="F"/>
    <x v="1"/>
    <x v="0"/>
    <x v="0"/>
    <x v="19"/>
    <x v="1"/>
    <x v="4"/>
    <x v="2"/>
  </r>
  <r>
    <s v="TX500610"/>
    <x v="1"/>
    <x v="13"/>
    <n v="35.700000000000003"/>
    <n v="214.20000000000002"/>
    <d v="2025-01-26T00:00:00"/>
    <d v="2025-01-30T00:00:00"/>
    <s v="F"/>
    <x v="4"/>
    <x v="1"/>
    <x v="0"/>
    <x v="19"/>
    <x v="5"/>
    <x v="4"/>
    <x v="2"/>
  </r>
  <r>
    <s v="TX500611"/>
    <x v="0"/>
    <x v="28"/>
    <n v="26.2"/>
    <n v="524"/>
    <d v="2025-01-26T00:00:00"/>
    <d v="2025-01-27T00:00:00"/>
    <s v="F"/>
    <x v="3"/>
    <x v="0"/>
    <x v="0"/>
    <x v="21"/>
    <x v="3"/>
    <x v="4"/>
    <x v="2"/>
  </r>
  <r>
    <s v="TX500612"/>
    <x v="7"/>
    <x v="1"/>
    <n v="31"/>
    <n v="62"/>
    <d v="2025-01-26T00:00:00"/>
    <d v="2025-01-27T00:00:00"/>
    <s v="F"/>
    <x v="0"/>
    <x v="2"/>
    <x v="0"/>
    <x v="1"/>
    <x v="3"/>
    <x v="4"/>
    <x v="2"/>
  </r>
  <r>
    <s v="TX500613"/>
    <x v="8"/>
    <x v="12"/>
    <n v="37.700000000000003"/>
    <n v="150.80000000000001"/>
    <d v="2025-01-26T00:00:00"/>
    <d v="2025-01-27T00:00:00"/>
    <s v="F"/>
    <x v="1"/>
    <x v="0"/>
    <x v="0"/>
    <x v="22"/>
    <x v="3"/>
    <x v="4"/>
    <x v="2"/>
  </r>
  <r>
    <s v="TX500614"/>
    <x v="10"/>
    <x v="33"/>
    <n v="43.6"/>
    <n v="1482.4"/>
    <d v="2025-01-26T00:00:00"/>
    <d v="2025-01-28T00:00:00"/>
    <s v="F"/>
    <x v="4"/>
    <x v="1"/>
    <x v="0"/>
    <x v="3"/>
    <x v="1"/>
    <x v="4"/>
    <x v="2"/>
  </r>
  <r>
    <s v="TX500615"/>
    <x v="9"/>
    <x v="12"/>
    <n v="26.5"/>
    <n v="106"/>
    <d v="2025-01-26T00:00:00"/>
    <d v="2025-01-28T00:00:00"/>
    <s v="M"/>
    <x v="0"/>
    <x v="4"/>
    <x v="0"/>
    <x v="3"/>
    <x v="1"/>
    <x v="4"/>
    <x v="1"/>
  </r>
  <r>
    <s v="TX500616"/>
    <x v="0"/>
    <x v="1"/>
    <n v="34.6"/>
    <n v="69.2"/>
    <d v="2025-01-26T00:00:00"/>
    <d v="2025-01-27T00:00:00"/>
    <s v="M"/>
    <x v="4"/>
    <x v="1"/>
    <x v="0"/>
    <x v="3"/>
    <x v="3"/>
    <x v="4"/>
    <x v="1"/>
  </r>
  <r>
    <s v="TX500617"/>
    <x v="8"/>
    <x v="1"/>
    <n v="58.2"/>
    <n v="116.4"/>
    <d v="2025-01-26T00:00:00"/>
    <d v="2025-01-27T00:00:00"/>
    <s v="M"/>
    <x v="2"/>
    <x v="2"/>
    <x v="0"/>
    <x v="3"/>
    <x v="3"/>
    <x v="4"/>
    <x v="1"/>
  </r>
  <r>
    <s v="TX500618"/>
    <x v="7"/>
    <x v="0"/>
    <n v="30.2"/>
    <n v="30.2"/>
    <d v="2025-01-27T00:00:00"/>
    <d v="2025-01-28T00:00:00"/>
    <s v="F"/>
    <x v="2"/>
    <x v="1"/>
    <x v="0"/>
    <x v="3"/>
    <x v="3"/>
    <x v="4"/>
    <x v="2"/>
  </r>
  <r>
    <s v="TX500619"/>
    <x v="1"/>
    <x v="7"/>
    <n v="53.2"/>
    <n v="532"/>
    <d v="2025-01-27T00:00:00"/>
    <d v="2025-01-28T00:00:00"/>
    <s v="M"/>
    <x v="0"/>
    <x v="2"/>
    <x v="0"/>
    <x v="5"/>
    <x v="3"/>
    <x v="4"/>
    <x v="1"/>
  </r>
  <r>
    <s v="TX500620"/>
    <x v="12"/>
    <x v="13"/>
    <n v="51.1"/>
    <n v="306.60000000000002"/>
    <d v="2025-01-27T00:00:00"/>
    <d v="2025-01-27T00:00:00"/>
    <s v="M"/>
    <x v="1"/>
    <x v="2"/>
    <x v="0"/>
    <x v="5"/>
    <x v="7"/>
    <x v="4"/>
    <x v="1"/>
  </r>
  <r>
    <s v="TX500621"/>
    <x v="1"/>
    <x v="0"/>
    <n v="105.4"/>
    <n v="105.4"/>
    <d v="2025-01-27T00:00:00"/>
    <d v="2025-01-31T00:00:00"/>
    <s v="F"/>
    <x v="1"/>
    <x v="2"/>
    <x v="0"/>
    <x v="23"/>
    <x v="5"/>
    <x v="4"/>
    <x v="2"/>
  </r>
  <r>
    <s v="TX500622"/>
    <x v="7"/>
    <x v="0"/>
    <n v="57.7"/>
    <n v="57.7"/>
    <d v="2025-01-27T00:00:00"/>
    <d v="2025-01-27T00:00:00"/>
    <s v="M"/>
    <x v="0"/>
    <x v="4"/>
    <x v="0"/>
    <x v="8"/>
    <x v="7"/>
    <x v="4"/>
    <x v="1"/>
  </r>
  <r>
    <s v="TX500623"/>
    <x v="15"/>
    <x v="1"/>
    <n v="72.400000000000006"/>
    <n v="144.80000000000001"/>
    <d v="2025-01-27T00:00:00"/>
    <d v="2025-02-01T00:00:00"/>
    <s v="F"/>
    <x v="0"/>
    <x v="0"/>
    <x v="0"/>
    <x v="17"/>
    <x v="0"/>
    <x v="4"/>
    <x v="2"/>
  </r>
  <r>
    <s v="TX500624"/>
    <x v="6"/>
    <x v="1"/>
    <n v="62.5"/>
    <n v="125"/>
    <d v="2025-01-27T00:00:00"/>
    <d v="2025-01-28T00:00:00"/>
    <s v=""/>
    <x v="0"/>
    <x v="2"/>
    <x v="0"/>
    <x v="11"/>
    <x v="3"/>
    <x v="4"/>
    <x v="0"/>
  </r>
  <r>
    <s v="TX500625"/>
    <x v="0"/>
    <x v="32"/>
    <n v="11.6"/>
    <n v="255.2"/>
    <d v="2025-01-27T00:00:00"/>
    <d v="2025-01-29T00:00:00"/>
    <s v="F"/>
    <x v="3"/>
    <x v="2"/>
    <x v="0"/>
    <x v="18"/>
    <x v="1"/>
    <x v="4"/>
    <x v="2"/>
  </r>
  <r>
    <s v="TX500626"/>
    <x v="10"/>
    <x v="7"/>
    <n v="39.6"/>
    <n v="396"/>
    <d v="2025-01-27T00:00:00"/>
    <d v="2025-01-29T00:00:00"/>
    <s v="F"/>
    <x v="2"/>
    <x v="2"/>
    <x v="0"/>
    <x v="18"/>
    <x v="1"/>
    <x v="4"/>
    <x v="2"/>
  </r>
  <r>
    <s v="TX500627"/>
    <x v="8"/>
    <x v="1"/>
    <n v="40.1"/>
    <n v="80.2"/>
    <d v="2025-01-27T00:00:00"/>
    <d v="2025-01-28T00:00:00"/>
    <s v="F"/>
    <x v="2"/>
    <x v="0"/>
    <x v="0"/>
    <x v="18"/>
    <x v="3"/>
    <x v="4"/>
    <x v="2"/>
  </r>
  <r>
    <s v="TX500628"/>
    <x v="8"/>
    <x v="2"/>
    <n v="18.600000000000001"/>
    <n v="55.800000000000004"/>
    <d v="2025-01-27T00:00:00"/>
    <d v="2025-01-28T00:00:00"/>
    <s v="F"/>
    <x v="2"/>
    <x v="0"/>
    <x v="0"/>
    <x v="21"/>
    <x v="3"/>
    <x v="4"/>
    <x v="2"/>
  </r>
  <r>
    <s v="TX500629"/>
    <x v="4"/>
    <x v="0"/>
    <n v="58.8"/>
    <n v="58.8"/>
    <d v="2025-01-27T00:00:00"/>
    <d v="2025-01-29T00:00:00"/>
    <s v="F"/>
    <x v="0"/>
    <x v="1"/>
    <x v="0"/>
    <x v="21"/>
    <x v="1"/>
    <x v="4"/>
    <x v="2"/>
  </r>
  <r>
    <s v="TX500630"/>
    <x v="8"/>
    <x v="1"/>
    <n v="22.1"/>
    <n v="44.2"/>
    <d v="2025-01-27T00:00:00"/>
    <d v="2025-01-30T00:00:00"/>
    <s v="M"/>
    <x v="1"/>
    <x v="2"/>
    <x v="0"/>
    <x v="21"/>
    <x v="2"/>
    <x v="4"/>
    <x v="1"/>
  </r>
  <r>
    <s v="TX500631"/>
    <x v="2"/>
    <x v="0"/>
    <n v="114.9"/>
    <n v="114.9"/>
    <d v="2025-01-28T00:00:00"/>
    <d v="2025-01-29T00:00:00"/>
    <s v="F"/>
    <x v="1"/>
    <x v="1"/>
    <x v="0"/>
    <x v="22"/>
    <x v="3"/>
    <x v="4"/>
    <x v="2"/>
  </r>
  <r>
    <s v="TX500632"/>
    <x v="9"/>
    <x v="9"/>
    <n v="75.8"/>
    <n v="379"/>
    <d v="2025-01-28T00:00:00"/>
    <d v="2025-01-29T00:00:00"/>
    <s v="M"/>
    <x v="0"/>
    <x v="2"/>
    <x v="0"/>
    <x v="3"/>
    <x v="3"/>
    <x v="4"/>
    <x v="1"/>
  </r>
  <r>
    <s v="TX500633"/>
    <x v="14"/>
    <x v="9"/>
    <n v="20.6"/>
    <n v="103"/>
    <d v="2025-01-28T00:00:00"/>
    <d v="2025-01-29T00:00:00"/>
    <s v="M"/>
    <x v="2"/>
    <x v="2"/>
    <x v="0"/>
    <x v="3"/>
    <x v="3"/>
    <x v="4"/>
    <x v="1"/>
  </r>
  <r>
    <s v="TX500634"/>
    <x v="17"/>
    <x v="2"/>
    <n v="67.900000000000006"/>
    <n v="203.70000000000002"/>
    <d v="2025-01-28T00:00:00"/>
    <d v="2025-01-29T00:00:00"/>
    <s v="F"/>
    <x v="1"/>
    <x v="1"/>
    <x v="0"/>
    <x v="3"/>
    <x v="3"/>
    <x v="4"/>
    <x v="2"/>
  </r>
  <r>
    <s v="TX500635"/>
    <x v="0"/>
    <x v="9"/>
    <n v="27"/>
    <n v="135"/>
    <d v="2025-01-28T00:00:00"/>
    <d v="2025-02-04T00:00:00"/>
    <s v="F"/>
    <x v="0"/>
    <x v="2"/>
    <x v="0"/>
    <x v="3"/>
    <x v="6"/>
    <x v="4"/>
    <x v="2"/>
  </r>
  <r>
    <s v="TX500636"/>
    <x v="13"/>
    <x v="0"/>
    <n v="50.6"/>
    <n v="50.6"/>
    <d v="2025-01-28T00:00:00"/>
    <d v="2025-01-28T00:00:00"/>
    <s v="M"/>
    <x v="0"/>
    <x v="1"/>
    <x v="0"/>
    <x v="3"/>
    <x v="7"/>
    <x v="4"/>
    <x v="1"/>
  </r>
  <r>
    <s v="TX500637"/>
    <x v="4"/>
    <x v="9"/>
    <n v="22.1"/>
    <n v="110.5"/>
    <d v="2025-01-28T00:00:00"/>
    <d v="2025-02-02T00:00:00"/>
    <s v="M"/>
    <x v="0"/>
    <x v="0"/>
    <x v="0"/>
    <x v="3"/>
    <x v="0"/>
    <x v="4"/>
    <x v="1"/>
  </r>
  <r>
    <s v="TX500638"/>
    <x v="8"/>
    <x v="2"/>
    <n v="42.9"/>
    <n v="128.69999999999999"/>
    <d v="2025-01-28T00:00:00"/>
    <d v="2025-01-30T00:00:00"/>
    <s v="F"/>
    <x v="0"/>
    <x v="0"/>
    <x v="0"/>
    <x v="3"/>
    <x v="1"/>
    <x v="4"/>
    <x v="2"/>
  </r>
  <r>
    <s v="TX500639"/>
    <x v="1"/>
    <x v="5"/>
    <n v="62.4"/>
    <n v="686.4"/>
    <d v="2025-01-28T00:00:00"/>
    <d v="2025-01-30T00:00:00"/>
    <s v="F"/>
    <x v="2"/>
    <x v="0"/>
    <x v="0"/>
    <x v="3"/>
    <x v="1"/>
    <x v="4"/>
    <x v="2"/>
  </r>
  <r>
    <s v="TX500640"/>
    <x v="13"/>
    <x v="11"/>
    <n v="36.4"/>
    <n v="327.59999999999997"/>
    <d v="2025-01-28T00:00:00"/>
    <d v="2025-01-30T00:00:00"/>
    <s v="F"/>
    <x v="0"/>
    <x v="2"/>
    <x v="0"/>
    <x v="3"/>
    <x v="1"/>
    <x v="4"/>
    <x v="2"/>
  </r>
  <r>
    <s v="TX500641"/>
    <x v="0"/>
    <x v="1"/>
    <n v="22.5"/>
    <n v="45"/>
    <d v="2025-01-28T00:00:00"/>
    <d v="2025-01-31T00:00:00"/>
    <s v="M"/>
    <x v="0"/>
    <x v="0"/>
    <x v="0"/>
    <x v="3"/>
    <x v="2"/>
    <x v="4"/>
    <x v="1"/>
  </r>
  <r>
    <s v="TX500642"/>
    <x v="6"/>
    <x v="12"/>
    <n v="70.8"/>
    <n v="283.2"/>
    <d v="2025-01-28T00:00:00"/>
    <d v="2025-01-30T00:00:00"/>
    <s v="F"/>
    <x v="4"/>
    <x v="0"/>
    <x v="0"/>
    <x v="3"/>
    <x v="1"/>
    <x v="4"/>
    <x v="2"/>
  </r>
  <r>
    <s v="TX500643"/>
    <x v="6"/>
    <x v="9"/>
    <n v="56.6"/>
    <n v="283"/>
    <d v="2025-01-28T00:00:00"/>
    <d v="2025-01-30T00:00:00"/>
    <s v="M"/>
    <x v="0"/>
    <x v="1"/>
    <x v="0"/>
    <x v="4"/>
    <x v="1"/>
    <x v="4"/>
    <x v="1"/>
  </r>
  <r>
    <s v="TX500644"/>
    <x v="6"/>
    <x v="1"/>
    <n v="47.9"/>
    <n v="95.8"/>
    <d v="2025-01-28T00:00:00"/>
    <d v="2025-01-29T00:00:00"/>
    <s v="F"/>
    <x v="0"/>
    <x v="0"/>
    <x v="0"/>
    <x v="6"/>
    <x v="3"/>
    <x v="4"/>
    <x v="2"/>
  </r>
  <r>
    <s v="TX500645"/>
    <x v="6"/>
    <x v="8"/>
    <n v="78.400000000000006"/>
    <n v="627.20000000000005"/>
    <d v="2025-01-28T00:00:00"/>
    <d v="2025-01-30T00:00:00"/>
    <s v="F"/>
    <x v="1"/>
    <x v="0"/>
    <x v="0"/>
    <x v="6"/>
    <x v="1"/>
    <x v="4"/>
    <x v="2"/>
  </r>
  <r>
    <s v="TX500646"/>
    <x v="2"/>
    <x v="21"/>
    <n v="122.1"/>
    <n v="1709.3999999999999"/>
    <d v="2025-01-28T00:00:00"/>
    <d v="2025-02-02T00:00:00"/>
    <s v="F"/>
    <x v="0"/>
    <x v="2"/>
    <x v="0"/>
    <x v="6"/>
    <x v="0"/>
    <x v="4"/>
    <x v="2"/>
  </r>
  <r>
    <s v="TX500647"/>
    <x v="2"/>
    <x v="1"/>
    <n v="83.7"/>
    <n v="167.4"/>
    <d v="2025-01-29T00:00:00"/>
    <d v="2025-01-29T00:00:00"/>
    <s v=""/>
    <x v="1"/>
    <x v="2"/>
    <x v="0"/>
    <x v="7"/>
    <x v="7"/>
    <x v="4"/>
    <x v="0"/>
  </r>
  <r>
    <s v="TX500648"/>
    <x v="3"/>
    <x v="12"/>
    <n v="97.9"/>
    <n v="391.6"/>
    <d v="2025-01-29T00:00:00"/>
    <d v="2025-02-02T00:00:00"/>
    <s v="F"/>
    <x v="3"/>
    <x v="2"/>
    <x v="0"/>
    <x v="7"/>
    <x v="5"/>
    <x v="4"/>
    <x v="2"/>
  </r>
  <r>
    <s v="TX500649"/>
    <x v="14"/>
    <x v="0"/>
    <n v="15"/>
    <n v="15"/>
    <d v="2025-01-29T00:00:00"/>
    <d v="2025-02-03T00:00:00"/>
    <s v="F"/>
    <x v="3"/>
    <x v="0"/>
    <x v="0"/>
    <x v="8"/>
    <x v="0"/>
    <x v="4"/>
    <x v="2"/>
  </r>
  <r>
    <s v="TX500650"/>
    <x v="12"/>
    <x v="2"/>
    <n v="94.6"/>
    <n v="283.79999999999995"/>
    <d v="2025-01-29T00:00:00"/>
    <d v="2025-01-30T00:00:00"/>
    <s v="M"/>
    <x v="2"/>
    <x v="1"/>
    <x v="0"/>
    <x v="8"/>
    <x v="3"/>
    <x v="4"/>
    <x v="1"/>
  </r>
  <r>
    <s v="TX500651"/>
    <x v="0"/>
    <x v="13"/>
    <n v="19.7"/>
    <n v="118.19999999999999"/>
    <d v="2025-01-29T00:00:00"/>
    <d v="2025-02-09T00:00:00"/>
    <s v="F"/>
    <x v="0"/>
    <x v="2"/>
    <x v="0"/>
    <x v="8"/>
    <x v="11"/>
    <x v="4"/>
    <x v="2"/>
  </r>
  <r>
    <s v="TX500652"/>
    <x v="7"/>
    <x v="0"/>
    <n v="46.7"/>
    <n v="46.7"/>
    <d v="2025-01-29T00:00:00"/>
    <d v="2025-02-01T00:00:00"/>
    <s v="F"/>
    <x v="2"/>
    <x v="0"/>
    <x v="0"/>
    <x v="17"/>
    <x v="2"/>
    <x v="4"/>
    <x v="2"/>
  </r>
  <r>
    <s v="TX500653"/>
    <x v="1"/>
    <x v="12"/>
    <n v="43"/>
    <n v="172"/>
    <d v="2025-01-29T00:00:00"/>
    <d v="2025-01-30T00:00:00"/>
    <s v="M"/>
    <x v="2"/>
    <x v="2"/>
    <x v="0"/>
    <x v="17"/>
    <x v="3"/>
    <x v="4"/>
    <x v="1"/>
  </r>
  <r>
    <s v="TX500654"/>
    <x v="6"/>
    <x v="2"/>
    <n v="68.2"/>
    <n v="204.60000000000002"/>
    <d v="2025-01-29T00:00:00"/>
    <d v="2025-02-04T00:00:00"/>
    <s v="F"/>
    <x v="0"/>
    <x v="0"/>
    <x v="0"/>
    <x v="9"/>
    <x v="4"/>
    <x v="4"/>
    <x v="2"/>
  </r>
  <r>
    <s v="TX500655"/>
    <x v="10"/>
    <x v="7"/>
    <n v="24.3"/>
    <n v="243"/>
    <d v="2025-01-29T00:00:00"/>
    <d v="2025-01-30T00:00:00"/>
    <s v="M"/>
    <x v="0"/>
    <x v="2"/>
    <x v="0"/>
    <x v="10"/>
    <x v="3"/>
    <x v="4"/>
    <x v="1"/>
  </r>
  <r>
    <s v="TX500656"/>
    <x v="7"/>
    <x v="1"/>
    <n v="86.8"/>
    <n v="173.6"/>
    <d v="2025-01-29T00:00:00"/>
    <d v="2025-02-02T00:00:00"/>
    <s v="F"/>
    <x v="4"/>
    <x v="2"/>
    <x v="0"/>
    <x v="11"/>
    <x v="5"/>
    <x v="4"/>
    <x v="2"/>
  </r>
  <r>
    <s v="TX500657"/>
    <x v="0"/>
    <x v="1"/>
    <n v="15.8"/>
    <n v="31.6"/>
    <d v="2025-01-29T00:00:00"/>
    <d v="2025-01-31T00:00:00"/>
    <s v="M"/>
    <x v="1"/>
    <x v="0"/>
    <x v="0"/>
    <x v="11"/>
    <x v="1"/>
    <x v="4"/>
    <x v="1"/>
  </r>
  <r>
    <s v="TX500658"/>
    <x v="2"/>
    <x v="12"/>
    <n v="61.6"/>
    <n v="246.4"/>
    <d v="2025-01-29T00:00:00"/>
    <d v="2025-01-30T00:00:00"/>
    <s v="M"/>
    <x v="2"/>
    <x v="0"/>
    <x v="0"/>
    <x v="11"/>
    <x v="3"/>
    <x v="4"/>
    <x v="1"/>
  </r>
  <r>
    <s v="TX500659"/>
    <x v="6"/>
    <x v="2"/>
    <n v="48.7"/>
    <n v="146.10000000000002"/>
    <d v="2025-01-29T00:00:00"/>
    <d v="2025-02-04T00:00:00"/>
    <s v="F"/>
    <x v="1"/>
    <x v="2"/>
    <x v="0"/>
    <x v="45"/>
    <x v="4"/>
    <x v="4"/>
    <x v="2"/>
  </r>
  <r>
    <s v="TX500660"/>
    <x v="8"/>
    <x v="12"/>
    <n v="24.3"/>
    <n v="97.2"/>
    <d v="2025-01-29T00:00:00"/>
    <d v="2025-01-31T00:00:00"/>
    <s v="F"/>
    <x v="1"/>
    <x v="2"/>
    <x v="0"/>
    <x v="21"/>
    <x v="1"/>
    <x v="4"/>
    <x v="2"/>
  </r>
  <r>
    <s v="TX500661"/>
    <x v="2"/>
    <x v="1"/>
    <n v="130.69999999999999"/>
    <n v="261.39999999999998"/>
    <d v="2025-01-29T00:00:00"/>
    <d v="2025-01-30T00:00:00"/>
    <s v="F"/>
    <x v="2"/>
    <x v="0"/>
    <x v="0"/>
    <x v="44"/>
    <x v="3"/>
    <x v="4"/>
    <x v="2"/>
  </r>
  <r>
    <s v="TX500662"/>
    <x v="10"/>
    <x v="0"/>
    <n v="26"/>
    <n v="26"/>
    <d v="2025-01-29T00:00:00"/>
    <d v="2025-01-31T00:00:00"/>
    <s v="M"/>
    <x v="0"/>
    <x v="0"/>
    <x v="0"/>
    <x v="3"/>
    <x v="1"/>
    <x v="4"/>
    <x v="1"/>
  </r>
  <r>
    <s v="TX500663"/>
    <x v="2"/>
    <x v="9"/>
    <n v="94.4"/>
    <n v="472"/>
    <d v="2025-01-29T00:00:00"/>
    <d v="2025-01-30T00:00:00"/>
    <s v="F"/>
    <x v="0"/>
    <x v="0"/>
    <x v="0"/>
    <x v="3"/>
    <x v="3"/>
    <x v="4"/>
    <x v="2"/>
  </r>
  <r>
    <s v="TX500664"/>
    <x v="0"/>
    <x v="13"/>
    <n v="23.7"/>
    <n v="142.19999999999999"/>
    <d v="2025-01-29T00:00:00"/>
    <d v="2025-01-31T00:00:00"/>
    <s v="M"/>
    <x v="2"/>
    <x v="2"/>
    <x v="0"/>
    <x v="3"/>
    <x v="1"/>
    <x v="4"/>
    <x v="1"/>
  </r>
  <r>
    <s v="TX500665"/>
    <x v="9"/>
    <x v="4"/>
    <n v="37.4"/>
    <n v="448.79999999999995"/>
    <d v="2025-01-29T00:00:00"/>
    <d v="2025-01-31T00:00:00"/>
    <s v="M"/>
    <x v="2"/>
    <x v="0"/>
    <x v="0"/>
    <x v="3"/>
    <x v="1"/>
    <x v="4"/>
    <x v="1"/>
  </r>
  <r>
    <s v="TX500666"/>
    <x v="1"/>
    <x v="34"/>
    <n v="55.2"/>
    <n v="1987.2"/>
    <d v="2025-01-29T00:00:00"/>
    <d v="2025-01-29T00:00:00"/>
    <s v="F"/>
    <x v="3"/>
    <x v="1"/>
    <x v="0"/>
    <x v="3"/>
    <x v="7"/>
    <x v="4"/>
    <x v="2"/>
  </r>
  <r>
    <s v="TX500667"/>
    <x v="2"/>
    <x v="11"/>
    <n v="57.1"/>
    <n v="513.9"/>
    <d v="2025-01-29T00:00:00"/>
    <d v="2025-01-31T00:00:00"/>
    <s v="M"/>
    <x v="0"/>
    <x v="2"/>
    <x v="0"/>
    <x v="3"/>
    <x v="1"/>
    <x v="4"/>
    <x v="1"/>
  </r>
  <r>
    <s v="TX500668"/>
    <x v="12"/>
    <x v="0"/>
    <n v="55.3"/>
    <n v="55.3"/>
    <d v="2025-01-29T00:00:00"/>
    <d v="2025-01-30T00:00:00"/>
    <s v="F"/>
    <x v="2"/>
    <x v="2"/>
    <x v="0"/>
    <x v="3"/>
    <x v="3"/>
    <x v="4"/>
    <x v="2"/>
  </r>
  <r>
    <s v="TX500669"/>
    <x v="15"/>
    <x v="3"/>
    <n v="23.9"/>
    <n v="167.29999999999998"/>
    <d v="2025-01-29T00:00:00"/>
    <d v="2025-01-30T00:00:00"/>
    <s v="F"/>
    <x v="4"/>
    <x v="1"/>
    <x v="0"/>
    <x v="3"/>
    <x v="3"/>
    <x v="4"/>
    <x v="2"/>
  </r>
  <r>
    <s v="TX500670"/>
    <x v="0"/>
    <x v="0"/>
    <n v="34.1"/>
    <n v="34.1"/>
    <d v="2025-01-29T00:00:00"/>
    <d v="2025-02-05T00:00:00"/>
    <s v="F"/>
    <x v="2"/>
    <x v="0"/>
    <x v="0"/>
    <x v="3"/>
    <x v="6"/>
    <x v="4"/>
    <x v="2"/>
  </r>
  <r>
    <s v="TX500671"/>
    <x v="12"/>
    <x v="12"/>
    <n v="38.5"/>
    <n v="154"/>
    <d v="2025-01-29T00:00:00"/>
    <d v="2025-02-09T00:00:00"/>
    <s v="F"/>
    <x v="0"/>
    <x v="0"/>
    <x v="0"/>
    <x v="3"/>
    <x v="11"/>
    <x v="4"/>
    <x v="2"/>
  </r>
  <r>
    <s v="TX500672"/>
    <x v="7"/>
    <x v="1"/>
    <n v="105"/>
    <n v="210"/>
    <d v="2025-01-29T00:00:00"/>
    <d v="2025-02-04T00:00:00"/>
    <s v="F"/>
    <x v="0"/>
    <x v="2"/>
    <x v="0"/>
    <x v="3"/>
    <x v="4"/>
    <x v="4"/>
    <x v="2"/>
  </r>
  <r>
    <s v="TX500673"/>
    <x v="8"/>
    <x v="9"/>
    <n v="45.2"/>
    <n v="226"/>
    <d v="2025-01-29T00:00:00"/>
    <d v="2025-01-31T00:00:00"/>
    <s v="F"/>
    <x v="0"/>
    <x v="2"/>
    <x v="0"/>
    <x v="3"/>
    <x v="1"/>
    <x v="4"/>
    <x v="2"/>
  </r>
  <r>
    <s v="TX500674"/>
    <x v="17"/>
    <x v="2"/>
    <n v="24.8"/>
    <n v="74.400000000000006"/>
    <d v="2025-01-29T00:00:00"/>
    <d v="2025-01-29T00:00:00"/>
    <s v=""/>
    <x v="0"/>
    <x v="1"/>
    <x v="0"/>
    <x v="3"/>
    <x v="7"/>
    <x v="4"/>
    <x v="0"/>
  </r>
  <r>
    <s v="TX500675"/>
    <x v="11"/>
    <x v="12"/>
    <n v="43.8"/>
    <n v="175.2"/>
    <d v="2025-01-29T00:00:00"/>
    <d v="2025-02-05T00:00:00"/>
    <s v="F"/>
    <x v="1"/>
    <x v="2"/>
    <x v="0"/>
    <x v="6"/>
    <x v="6"/>
    <x v="4"/>
    <x v="2"/>
  </r>
  <r>
    <s v="TX500676"/>
    <x v="1"/>
    <x v="0"/>
    <n v="75"/>
    <n v="75"/>
    <d v="2025-01-29T00:00:00"/>
    <d v="2025-01-31T00:00:00"/>
    <s v="F"/>
    <x v="4"/>
    <x v="1"/>
    <x v="0"/>
    <x v="6"/>
    <x v="1"/>
    <x v="4"/>
    <x v="2"/>
  </r>
  <r>
    <s v="TX500677"/>
    <x v="2"/>
    <x v="0"/>
    <n v="169.9"/>
    <n v="169.9"/>
    <d v="2025-01-29T00:00:00"/>
    <d v="2025-01-30T00:00:00"/>
    <s v="M"/>
    <x v="2"/>
    <x v="0"/>
    <x v="0"/>
    <x v="6"/>
    <x v="3"/>
    <x v="4"/>
    <x v="1"/>
  </r>
  <r>
    <s v="TX500678"/>
    <x v="9"/>
    <x v="1"/>
    <n v="72.2"/>
    <n v="144.4"/>
    <d v="2025-01-29T00:00:00"/>
    <d v="2025-01-31T00:00:00"/>
    <s v="F"/>
    <x v="4"/>
    <x v="1"/>
    <x v="0"/>
    <x v="6"/>
    <x v="1"/>
    <x v="4"/>
    <x v="2"/>
  </r>
  <r>
    <s v="TX500679"/>
    <x v="0"/>
    <x v="0"/>
    <n v="20"/>
    <n v="20"/>
    <d v="2025-01-30T00:00:00"/>
    <d v="2025-02-02T00:00:00"/>
    <s v="F"/>
    <x v="2"/>
    <x v="1"/>
    <x v="0"/>
    <x v="7"/>
    <x v="2"/>
    <x v="4"/>
    <x v="2"/>
  </r>
  <r>
    <s v="TX500680"/>
    <x v="9"/>
    <x v="1"/>
    <n v="40.799999999999997"/>
    <n v="81.599999999999994"/>
    <d v="2025-01-30T00:00:00"/>
    <d v="2025-02-01T00:00:00"/>
    <s v="F"/>
    <x v="3"/>
    <x v="2"/>
    <x v="0"/>
    <x v="8"/>
    <x v="1"/>
    <x v="4"/>
    <x v="2"/>
  </r>
  <r>
    <s v="TX500681"/>
    <x v="10"/>
    <x v="12"/>
    <n v="58"/>
    <n v="232"/>
    <d v="2025-01-30T00:00:00"/>
    <d v="2025-02-03T00:00:00"/>
    <s v="F"/>
    <x v="0"/>
    <x v="0"/>
    <x v="0"/>
    <x v="8"/>
    <x v="5"/>
    <x v="4"/>
    <x v="2"/>
  </r>
  <r>
    <s v="TX500682"/>
    <x v="12"/>
    <x v="1"/>
    <n v="43.1"/>
    <n v="86.2"/>
    <d v="2025-01-30T00:00:00"/>
    <d v="2025-01-31T00:00:00"/>
    <s v="F"/>
    <x v="1"/>
    <x v="2"/>
    <x v="0"/>
    <x v="8"/>
    <x v="3"/>
    <x v="4"/>
    <x v="2"/>
  </r>
  <r>
    <s v="TX500683"/>
    <x v="6"/>
    <x v="11"/>
    <n v="74.7"/>
    <n v="672.30000000000007"/>
    <d v="2025-01-30T00:00:00"/>
    <d v="2025-02-01T00:00:00"/>
    <s v="M"/>
    <x v="0"/>
    <x v="2"/>
    <x v="0"/>
    <x v="8"/>
    <x v="1"/>
    <x v="4"/>
    <x v="1"/>
  </r>
  <r>
    <s v="TX500684"/>
    <x v="6"/>
    <x v="0"/>
    <n v="128.19999999999999"/>
    <n v="128.19999999999999"/>
    <d v="2025-01-30T00:00:00"/>
    <d v="2025-01-30T00:00:00"/>
    <s v="M"/>
    <x v="1"/>
    <x v="0"/>
    <x v="0"/>
    <x v="8"/>
    <x v="7"/>
    <x v="4"/>
    <x v="1"/>
  </r>
  <r>
    <s v="TX500685"/>
    <x v="14"/>
    <x v="12"/>
    <n v="26.7"/>
    <n v="106.8"/>
    <d v="2025-01-30T00:00:00"/>
    <d v="2025-01-31T00:00:00"/>
    <s v="M"/>
    <x v="1"/>
    <x v="0"/>
    <x v="0"/>
    <x v="8"/>
    <x v="3"/>
    <x v="4"/>
    <x v="1"/>
  </r>
  <r>
    <s v="TX500686"/>
    <x v="17"/>
    <x v="13"/>
    <n v="31.5"/>
    <n v="189"/>
    <d v="2025-01-30T00:00:00"/>
    <d v="2025-01-31T00:00:00"/>
    <s v="F"/>
    <x v="2"/>
    <x v="0"/>
    <x v="0"/>
    <x v="17"/>
    <x v="3"/>
    <x v="4"/>
    <x v="2"/>
  </r>
  <r>
    <s v="TX500687"/>
    <x v="3"/>
    <x v="3"/>
    <n v="64.7"/>
    <n v="452.90000000000003"/>
    <d v="2025-01-30T00:00:00"/>
    <d v="2025-01-31T00:00:00"/>
    <s v="F"/>
    <x v="0"/>
    <x v="2"/>
    <x v="0"/>
    <x v="9"/>
    <x v="3"/>
    <x v="4"/>
    <x v="2"/>
  </r>
  <r>
    <s v="TX500688"/>
    <x v="5"/>
    <x v="1"/>
    <n v="55.6"/>
    <n v="111.2"/>
    <d v="2025-01-30T00:00:00"/>
    <d v="2025-02-02T00:00:00"/>
    <s v="F"/>
    <x v="3"/>
    <x v="0"/>
    <x v="0"/>
    <x v="11"/>
    <x v="2"/>
    <x v="4"/>
    <x v="2"/>
  </r>
  <r>
    <s v="TX500689"/>
    <x v="3"/>
    <x v="1"/>
    <n v="36.200000000000003"/>
    <n v="72.400000000000006"/>
    <d v="2025-01-30T00:00:00"/>
    <d v="2025-01-31T00:00:00"/>
    <s v="F"/>
    <x v="3"/>
    <x v="0"/>
    <x v="0"/>
    <x v="11"/>
    <x v="3"/>
    <x v="4"/>
    <x v="2"/>
  </r>
  <r>
    <s v="TX500690"/>
    <x v="0"/>
    <x v="0"/>
    <n v="26.6"/>
    <n v="26.6"/>
    <d v="2025-01-30T00:00:00"/>
    <d v="2025-01-31T00:00:00"/>
    <s v=""/>
    <x v="1"/>
    <x v="1"/>
    <x v="0"/>
    <x v="19"/>
    <x v="3"/>
    <x v="4"/>
    <x v="0"/>
  </r>
  <r>
    <s v="TX500691"/>
    <x v="10"/>
    <x v="12"/>
    <n v="31.5"/>
    <n v="126"/>
    <d v="2025-01-30T00:00:00"/>
    <d v="2025-02-01T00:00:00"/>
    <s v="M"/>
    <x v="0"/>
    <x v="0"/>
    <x v="0"/>
    <x v="31"/>
    <x v="1"/>
    <x v="4"/>
    <x v="1"/>
  </r>
  <r>
    <s v="TX500692"/>
    <x v="10"/>
    <x v="0"/>
    <n v="27"/>
    <n v="27"/>
    <d v="2025-01-30T00:00:00"/>
    <d v="2025-02-01T00:00:00"/>
    <s v="F"/>
    <x v="1"/>
    <x v="2"/>
    <x v="0"/>
    <x v="13"/>
    <x v="1"/>
    <x v="4"/>
    <x v="2"/>
  </r>
  <r>
    <s v="TX500693"/>
    <x v="4"/>
    <x v="0"/>
    <n v="32"/>
    <n v="32"/>
    <d v="2025-01-30T00:00:00"/>
    <d v="2025-02-02T00:00:00"/>
    <s v="M"/>
    <x v="3"/>
    <x v="0"/>
    <x v="0"/>
    <x v="21"/>
    <x v="2"/>
    <x v="4"/>
    <x v="1"/>
  </r>
  <r>
    <s v="TX500694"/>
    <x v="1"/>
    <x v="2"/>
    <n v="48.1"/>
    <n v="144.30000000000001"/>
    <d v="2025-01-30T00:00:00"/>
    <d v="2025-02-01T00:00:00"/>
    <s v="M"/>
    <x v="2"/>
    <x v="1"/>
    <x v="0"/>
    <x v="1"/>
    <x v="1"/>
    <x v="4"/>
    <x v="1"/>
  </r>
  <r>
    <s v="TX500695"/>
    <x v="9"/>
    <x v="1"/>
    <n v="43.4"/>
    <n v="86.8"/>
    <d v="2025-01-30T00:00:00"/>
    <d v="2025-01-31T00:00:00"/>
    <s v="M"/>
    <x v="1"/>
    <x v="1"/>
    <x v="0"/>
    <x v="22"/>
    <x v="3"/>
    <x v="4"/>
    <x v="1"/>
  </r>
  <r>
    <s v="TX500696"/>
    <x v="6"/>
    <x v="1"/>
    <n v="42.6"/>
    <n v="85.2"/>
    <d v="2025-01-30T00:00:00"/>
    <d v="2025-02-02T00:00:00"/>
    <s v="F"/>
    <x v="3"/>
    <x v="0"/>
    <x v="0"/>
    <x v="22"/>
    <x v="2"/>
    <x v="4"/>
    <x v="2"/>
  </r>
  <r>
    <s v="TX500697"/>
    <x v="8"/>
    <x v="1"/>
    <n v="15.9"/>
    <n v="31.8"/>
    <d v="2025-01-30T00:00:00"/>
    <d v="2025-01-31T00:00:00"/>
    <s v="F"/>
    <x v="0"/>
    <x v="0"/>
    <x v="0"/>
    <x v="34"/>
    <x v="3"/>
    <x v="4"/>
    <x v="2"/>
  </r>
  <r>
    <s v="TX500698"/>
    <x v="9"/>
    <x v="1"/>
    <n v="63.2"/>
    <n v="126.4"/>
    <d v="2025-01-30T00:00:00"/>
    <d v="2025-01-31T00:00:00"/>
    <s v="M"/>
    <x v="1"/>
    <x v="0"/>
    <x v="0"/>
    <x v="3"/>
    <x v="3"/>
    <x v="4"/>
    <x v="1"/>
  </r>
  <r>
    <s v="TX500699"/>
    <x v="7"/>
    <x v="12"/>
    <n v="64.8"/>
    <n v="259.2"/>
    <d v="2025-01-30T00:00:00"/>
    <d v="2025-02-01T00:00:00"/>
    <s v=""/>
    <x v="4"/>
    <x v="1"/>
    <x v="0"/>
    <x v="3"/>
    <x v="1"/>
    <x v="4"/>
    <x v="0"/>
  </r>
  <r>
    <s v="TX500700"/>
    <x v="7"/>
    <x v="2"/>
    <n v="79.8"/>
    <n v="239.39999999999998"/>
    <d v="2025-01-30T00:00:00"/>
    <d v="2025-01-31T00:00:00"/>
    <s v="M"/>
    <x v="0"/>
    <x v="0"/>
    <x v="0"/>
    <x v="3"/>
    <x v="3"/>
    <x v="4"/>
    <x v="1"/>
  </r>
  <r>
    <s v="TX500701"/>
    <x v="9"/>
    <x v="0"/>
    <n v="54.4"/>
    <n v="54.4"/>
    <d v="2025-01-30T00:00:00"/>
    <d v="2025-02-01T00:00:00"/>
    <s v="F"/>
    <x v="4"/>
    <x v="2"/>
    <x v="0"/>
    <x v="3"/>
    <x v="1"/>
    <x v="4"/>
    <x v="2"/>
  </r>
  <r>
    <s v="TX500702"/>
    <x v="6"/>
    <x v="0"/>
    <n v="87.3"/>
    <n v="87.3"/>
    <d v="2025-01-30T00:00:00"/>
    <d v="2025-01-31T00:00:00"/>
    <s v="M"/>
    <x v="1"/>
    <x v="0"/>
    <x v="0"/>
    <x v="3"/>
    <x v="3"/>
    <x v="4"/>
    <x v="1"/>
  </r>
  <r>
    <s v="TX500703"/>
    <x v="8"/>
    <x v="12"/>
    <n v="32.4"/>
    <n v="129.6"/>
    <d v="2025-01-30T00:00:00"/>
    <d v="2025-01-30T00:00:00"/>
    <s v="M"/>
    <x v="1"/>
    <x v="0"/>
    <x v="0"/>
    <x v="3"/>
    <x v="7"/>
    <x v="4"/>
    <x v="1"/>
  </r>
  <r>
    <s v="TX500704"/>
    <x v="2"/>
    <x v="0"/>
    <n v="177.4"/>
    <n v="177.4"/>
    <d v="2025-01-30T00:00:00"/>
    <d v="2025-02-03T00:00:00"/>
    <s v="M"/>
    <x v="0"/>
    <x v="2"/>
    <x v="0"/>
    <x v="3"/>
    <x v="5"/>
    <x v="4"/>
    <x v="1"/>
  </r>
  <r>
    <s v="TX500705"/>
    <x v="7"/>
    <x v="1"/>
    <n v="70.099999999999994"/>
    <n v="140.19999999999999"/>
    <d v="2025-01-30T00:00:00"/>
    <d v="2025-01-31T00:00:00"/>
    <s v="M"/>
    <x v="3"/>
    <x v="1"/>
    <x v="0"/>
    <x v="3"/>
    <x v="3"/>
    <x v="4"/>
    <x v="1"/>
  </r>
  <r>
    <s v="TX500706"/>
    <x v="9"/>
    <x v="13"/>
    <n v="51.1"/>
    <n v="306.60000000000002"/>
    <d v="2025-01-30T00:00:00"/>
    <d v="2025-01-31T00:00:00"/>
    <s v="F"/>
    <x v="0"/>
    <x v="0"/>
    <x v="0"/>
    <x v="3"/>
    <x v="3"/>
    <x v="4"/>
    <x v="2"/>
  </r>
  <r>
    <s v="TX500707"/>
    <x v="2"/>
    <x v="9"/>
    <n v="79.900000000000006"/>
    <n v="399.5"/>
    <d v="2025-01-30T00:00:00"/>
    <d v="2025-02-01T00:00:00"/>
    <s v="M"/>
    <x v="3"/>
    <x v="2"/>
    <x v="0"/>
    <x v="24"/>
    <x v="1"/>
    <x v="4"/>
    <x v="1"/>
  </r>
  <r>
    <s v="TX500708"/>
    <x v="6"/>
    <x v="0"/>
    <n v="57.6"/>
    <n v="57.6"/>
    <d v="2025-01-31T00:00:00"/>
    <d v="2025-02-05T00:00:00"/>
    <s v="M"/>
    <x v="0"/>
    <x v="2"/>
    <x v="0"/>
    <x v="49"/>
    <x v="0"/>
    <x v="4"/>
    <x v="1"/>
  </r>
  <r>
    <s v="TX500709"/>
    <x v="8"/>
    <x v="7"/>
    <n v="59.7"/>
    <n v="597"/>
    <d v="2025-01-31T00:00:00"/>
    <d v="2025-02-04T00:00:00"/>
    <s v="M"/>
    <x v="2"/>
    <x v="0"/>
    <x v="0"/>
    <x v="25"/>
    <x v="5"/>
    <x v="4"/>
    <x v="1"/>
  </r>
  <r>
    <s v="TX500710"/>
    <x v="8"/>
    <x v="9"/>
    <n v="30"/>
    <n v="150"/>
    <d v="2025-01-31T00:00:00"/>
    <d v="2025-02-02T00:00:00"/>
    <s v="M"/>
    <x v="1"/>
    <x v="0"/>
    <x v="0"/>
    <x v="6"/>
    <x v="1"/>
    <x v="4"/>
    <x v="1"/>
  </r>
  <r>
    <s v="TX500711"/>
    <x v="10"/>
    <x v="1"/>
    <n v="69.2"/>
    <n v="138.4"/>
    <d v="2025-01-31T00:00:00"/>
    <d v="2025-02-02T00:00:00"/>
    <s v=""/>
    <x v="2"/>
    <x v="1"/>
    <x v="0"/>
    <x v="6"/>
    <x v="1"/>
    <x v="4"/>
    <x v="0"/>
  </r>
  <r>
    <s v="TX500712"/>
    <x v="0"/>
    <x v="8"/>
    <n v="10.9"/>
    <n v="87.2"/>
    <d v="2025-01-31T00:00:00"/>
    <d v="2025-02-01T00:00:00"/>
    <s v="F"/>
    <x v="0"/>
    <x v="2"/>
    <x v="0"/>
    <x v="6"/>
    <x v="3"/>
    <x v="4"/>
    <x v="2"/>
  </r>
  <r>
    <s v="TX500713"/>
    <x v="16"/>
    <x v="1"/>
    <n v="48.6"/>
    <n v="97.2"/>
    <d v="2025-01-31T00:00:00"/>
    <d v="2025-02-04T00:00:00"/>
    <s v="M"/>
    <x v="1"/>
    <x v="2"/>
    <x v="0"/>
    <x v="6"/>
    <x v="5"/>
    <x v="4"/>
    <x v="1"/>
  </r>
  <r>
    <s v="TX500714"/>
    <x v="2"/>
    <x v="1"/>
    <n v="61.1"/>
    <n v="122.2"/>
    <d v="2025-01-31T00:00:00"/>
    <d v="2025-02-03T00:00:00"/>
    <s v="F"/>
    <x v="1"/>
    <x v="2"/>
    <x v="0"/>
    <x v="7"/>
    <x v="2"/>
    <x v="4"/>
    <x v="2"/>
  </r>
  <r>
    <s v="TX500715"/>
    <x v="8"/>
    <x v="1"/>
    <n v="23.2"/>
    <n v="46.4"/>
    <d v="2025-01-31T00:00:00"/>
    <d v="2025-02-01T00:00:00"/>
    <s v="M"/>
    <x v="3"/>
    <x v="2"/>
    <x v="0"/>
    <x v="8"/>
    <x v="3"/>
    <x v="4"/>
    <x v="1"/>
  </r>
  <r>
    <s v="TX500716"/>
    <x v="12"/>
    <x v="12"/>
    <n v="55.8"/>
    <n v="223.2"/>
    <d v="2025-01-31T00:00:00"/>
    <d v="2025-02-01T00:00:00"/>
    <s v="M"/>
    <x v="0"/>
    <x v="0"/>
    <x v="0"/>
    <x v="8"/>
    <x v="3"/>
    <x v="4"/>
    <x v="1"/>
  </r>
  <r>
    <s v="TX500717"/>
    <x v="9"/>
    <x v="12"/>
    <n v="24.8"/>
    <n v="99.2"/>
    <d v="2025-01-31T00:00:00"/>
    <d v="2025-02-01T00:00:00"/>
    <s v="F"/>
    <x v="0"/>
    <x v="2"/>
    <x v="0"/>
    <x v="8"/>
    <x v="3"/>
    <x v="4"/>
    <x v="2"/>
  </r>
  <r>
    <s v="TX500718"/>
    <x v="10"/>
    <x v="1"/>
    <n v="27.9"/>
    <n v="55.8"/>
    <d v="2025-01-31T00:00:00"/>
    <d v="2025-01-31T00:00:00"/>
    <s v="M"/>
    <x v="2"/>
    <x v="2"/>
    <x v="0"/>
    <x v="8"/>
    <x v="7"/>
    <x v="4"/>
    <x v="1"/>
  </r>
  <r>
    <s v="TX500719"/>
    <x v="10"/>
    <x v="13"/>
    <n v="51.1"/>
    <n v="306.60000000000002"/>
    <d v="2025-01-31T00:00:00"/>
    <d v="2025-01-31T00:00:00"/>
    <s v="F"/>
    <x v="3"/>
    <x v="0"/>
    <x v="0"/>
    <x v="8"/>
    <x v="7"/>
    <x v="4"/>
    <x v="2"/>
  </r>
  <r>
    <s v="TX500720"/>
    <x v="17"/>
    <x v="5"/>
    <n v="32.700000000000003"/>
    <n v="359.70000000000005"/>
    <d v="2025-01-31T00:00:00"/>
    <d v="2025-02-01T00:00:00"/>
    <s v="M"/>
    <x v="4"/>
    <x v="2"/>
    <x v="0"/>
    <x v="17"/>
    <x v="3"/>
    <x v="4"/>
    <x v="1"/>
  </r>
  <r>
    <s v="TX500721"/>
    <x v="8"/>
    <x v="12"/>
    <n v="22.5"/>
    <n v="90"/>
    <d v="2025-01-31T00:00:00"/>
    <d v="2025-01-31T00:00:00"/>
    <s v="M"/>
    <x v="0"/>
    <x v="2"/>
    <x v="0"/>
    <x v="26"/>
    <x v="7"/>
    <x v="4"/>
    <x v="1"/>
  </r>
  <r>
    <s v="TX500722"/>
    <x v="0"/>
    <x v="3"/>
    <n v="14.6"/>
    <n v="102.2"/>
    <d v="2025-01-31T00:00:00"/>
    <d v="2025-02-01T00:00:00"/>
    <s v="F"/>
    <x v="2"/>
    <x v="0"/>
    <x v="0"/>
    <x v="41"/>
    <x v="3"/>
    <x v="4"/>
    <x v="2"/>
  </r>
  <r>
    <s v="TX500723"/>
    <x v="5"/>
    <x v="2"/>
    <n v="32.5"/>
    <n v="97.5"/>
    <d v="2025-01-31T00:00:00"/>
    <d v="2025-02-03T00:00:00"/>
    <s v="M"/>
    <x v="0"/>
    <x v="0"/>
    <x v="0"/>
    <x v="10"/>
    <x v="2"/>
    <x v="4"/>
    <x v="1"/>
  </r>
  <r>
    <s v="TX500724"/>
    <x v="18"/>
    <x v="0"/>
    <n v="78.099999999999994"/>
    <n v="78.099999999999994"/>
    <d v="2025-01-31T00:00:00"/>
    <d v="2025-02-03T00:00:00"/>
    <s v="M"/>
    <x v="0"/>
    <x v="2"/>
    <x v="0"/>
    <x v="11"/>
    <x v="2"/>
    <x v="4"/>
    <x v="1"/>
  </r>
  <r>
    <s v="TX500725"/>
    <x v="12"/>
    <x v="13"/>
    <n v="110.2"/>
    <n v="661.2"/>
    <d v="2025-01-31T00:00:00"/>
    <d v="2025-01-31T00:00:00"/>
    <s v="M"/>
    <x v="1"/>
    <x v="4"/>
    <x v="0"/>
    <x v="13"/>
    <x v="7"/>
    <x v="4"/>
    <x v="1"/>
  </r>
  <r>
    <s v="TX500726"/>
    <x v="6"/>
    <x v="2"/>
    <n v="86.3"/>
    <n v="258.89999999999998"/>
    <d v="2025-01-31T00:00:00"/>
    <d v="2025-02-02T00:00:00"/>
    <s v="F"/>
    <x v="3"/>
    <x v="0"/>
    <x v="0"/>
    <x v="21"/>
    <x v="1"/>
    <x v="4"/>
    <x v="2"/>
  </r>
  <r>
    <s v="TX500727"/>
    <x v="1"/>
    <x v="13"/>
    <n v="73.599999999999994"/>
    <n v="441.59999999999997"/>
    <d v="2025-01-31T00:00:00"/>
    <d v="2025-02-02T00:00:00"/>
    <s v="O"/>
    <x v="3"/>
    <x v="4"/>
    <x v="0"/>
    <x v="44"/>
    <x v="1"/>
    <x v="4"/>
    <x v="3"/>
  </r>
  <r>
    <s v="TX500728"/>
    <x v="6"/>
    <x v="15"/>
    <n v="67.7"/>
    <n v="880.1"/>
    <d v="2025-01-31T00:00:00"/>
    <d v="2025-02-02T00:00:00"/>
    <s v="F"/>
    <x v="0"/>
    <x v="2"/>
    <x v="0"/>
    <x v="3"/>
    <x v="1"/>
    <x v="4"/>
    <x v="2"/>
  </r>
  <r>
    <s v="TX500729"/>
    <x v="7"/>
    <x v="13"/>
    <n v="142.19999999999999"/>
    <n v="853.19999999999993"/>
    <d v="2025-01-31T00:00:00"/>
    <d v="2025-02-01T00:00:00"/>
    <s v="F"/>
    <x v="2"/>
    <x v="4"/>
    <x v="0"/>
    <x v="3"/>
    <x v="3"/>
    <x v="4"/>
    <x v="2"/>
  </r>
  <r>
    <s v="TX500730"/>
    <x v="1"/>
    <x v="11"/>
    <n v="45.8"/>
    <n v="412.2"/>
    <d v="2025-01-31T00:00:00"/>
    <d v="2025-02-02T00:00:00"/>
    <s v="F"/>
    <x v="1"/>
    <x v="2"/>
    <x v="0"/>
    <x v="3"/>
    <x v="1"/>
    <x v="4"/>
    <x v="2"/>
  </r>
  <r>
    <s v="TX500731"/>
    <x v="10"/>
    <x v="1"/>
    <n v="24.2"/>
    <n v="48.4"/>
    <d v="2025-02-01T00:00:00"/>
    <d v="2025-02-04T00:00:00"/>
    <s v="F"/>
    <x v="3"/>
    <x v="2"/>
    <x v="0"/>
    <x v="3"/>
    <x v="2"/>
    <x v="4"/>
    <x v="2"/>
  </r>
  <r>
    <s v="TX500732"/>
    <x v="2"/>
    <x v="2"/>
    <n v="144.9"/>
    <n v="434.70000000000005"/>
    <d v="2025-02-01T00:00:00"/>
    <d v="2025-02-02T00:00:00"/>
    <s v="O"/>
    <x v="2"/>
    <x v="2"/>
    <x v="0"/>
    <x v="3"/>
    <x v="3"/>
    <x v="4"/>
    <x v="3"/>
  </r>
  <r>
    <s v="TX500733"/>
    <x v="11"/>
    <x v="9"/>
    <n v="32.799999999999997"/>
    <n v="164"/>
    <d v="2025-02-01T00:00:00"/>
    <d v="2025-02-04T00:00:00"/>
    <s v="F"/>
    <x v="2"/>
    <x v="0"/>
    <x v="0"/>
    <x v="23"/>
    <x v="2"/>
    <x v="4"/>
    <x v="2"/>
  </r>
  <r>
    <s v="TX500734"/>
    <x v="7"/>
    <x v="7"/>
    <n v="35.700000000000003"/>
    <n v="357"/>
    <d v="2025-02-01T00:00:00"/>
    <d v="2025-02-01T00:00:00"/>
    <s v="F"/>
    <x v="0"/>
    <x v="1"/>
    <x v="0"/>
    <x v="6"/>
    <x v="7"/>
    <x v="4"/>
    <x v="2"/>
  </r>
  <r>
    <s v="TX500735"/>
    <x v="9"/>
    <x v="1"/>
    <n v="54.6"/>
    <n v="109.2"/>
    <d v="2025-02-01T00:00:00"/>
    <d v="2025-02-02T00:00:00"/>
    <s v="F"/>
    <x v="2"/>
    <x v="0"/>
    <x v="0"/>
    <x v="6"/>
    <x v="3"/>
    <x v="4"/>
    <x v="2"/>
  </r>
  <r>
    <s v="TX500736"/>
    <x v="8"/>
    <x v="1"/>
    <n v="35.700000000000003"/>
    <n v="71.400000000000006"/>
    <d v="2025-02-01T00:00:00"/>
    <d v="2025-02-04T00:00:00"/>
    <s v=""/>
    <x v="0"/>
    <x v="1"/>
    <x v="0"/>
    <x v="6"/>
    <x v="2"/>
    <x v="4"/>
    <x v="0"/>
  </r>
  <r>
    <s v="TX500737"/>
    <x v="10"/>
    <x v="1"/>
    <n v="52.4"/>
    <n v="104.8"/>
    <d v="2025-02-01T00:00:00"/>
    <d v="2025-02-01T00:00:00"/>
    <s v="F"/>
    <x v="0"/>
    <x v="3"/>
    <x v="0"/>
    <x v="6"/>
    <x v="7"/>
    <x v="4"/>
    <x v="2"/>
  </r>
  <r>
    <s v="TX500738"/>
    <x v="8"/>
    <x v="21"/>
    <n v="16.2"/>
    <n v="226.79999999999998"/>
    <d v="2025-02-01T00:00:00"/>
    <d v="2025-02-02T00:00:00"/>
    <s v=""/>
    <x v="0"/>
    <x v="1"/>
    <x v="0"/>
    <x v="8"/>
    <x v="3"/>
    <x v="4"/>
    <x v="0"/>
  </r>
  <r>
    <s v="TX500739"/>
    <x v="6"/>
    <x v="35"/>
    <n v="42.8"/>
    <n v="2011.6"/>
    <d v="2025-02-01T00:00:00"/>
    <d v="2025-02-02T00:00:00"/>
    <s v="F"/>
    <x v="0"/>
    <x v="0"/>
    <x v="0"/>
    <x v="8"/>
    <x v="3"/>
    <x v="4"/>
    <x v="2"/>
  </r>
  <r>
    <s v="TX500740"/>
    <x v="6"/>
    <x v="11"/>
    <n v="144.4"/>
    <n v="1299.6000000000001"/>
    <d v="2025-02-01T00:00:00"/>
    <d v="2025-02-04T00:00:00"/>
    <s v="F"/>
    <x v="4"/>
    <x v="0"/>
    <x v="0"/>
    <x v="8"/>
    <x v="2"/>
    <x v="4"/>
    <x v="2"/>
  </r>
  <r>
    <s v="TX500741"/>
    <x v="3"/>
    <x v="34"/>
    <n v="30.6"/>
    <n v="1101.6000000000001"/>
    <d v="2025-02-01T00:00:00"/>
    <d v="2025-02-05T00:00:00"/>
    <s v="F"/>
    <x v="2"/>
    <x v="2"/>
    <x v="0"/>
    <x v="11"/>
    <x v="5"/>
    <x v="4"/>
    <x v="2"/>
  </r>
  <r>
    <s v="TX500742"/>
    <x v="2"/>
    <x v="1"/>
    <n v="117.5"/>
    <n v="235"/>
    <d v="2025-02-01T00:00:00"/>
    <d v="2025-02-02T00:00:00"/>
    <s v="M"/>
    <x v="0"/>
    <x v="0"/>
    <x v="0"/>
    <x v="19"/>
    <x v="3"/>
    <x v="4"/>
    <x v="1"/>
  </r>
  <r>
    <s v="TX500743"/>
    <x v="6"/>
    <x v="1"/>
    <n v="105.7"/>
    <n v="211.4"/>
    <d v="2025-02-01T00:00:00"/>
    <d v="2025-02-02T00:00:00"/>
    <s v="F"/>
    <x v="2"/>
    <x v="2"/>
    <x v="0"/>
    <x v="21"/>
    <x v="3"/>
    <x v="4"/>
    <x v="2"/>
  </r>
  <r>
    <s v="TX500744"/>
    <x v="3"/>
    <x v="2"/>
    <n v="133.69999999999999"/>
    <n v="401.09999999999997"/>
    <d v="2025-02-01T00:00:00"/>
    <d v="2025-02-02T00:00:00"/>
    <s v=""/>
    <x v="4"/>
    <x v="2"/>
    <x v="0"/>
    <x v="21"/>
    <x v="3"/>
    <x v="4"/>
    <x v="0"/>
  </r>
  <r>
    <s v="TX500745"/>
    <x v="4"/>
    <x v="9"/>
    <n v="46.8"/>
    <n v="234"/>
    <d v="2025-02-02T00:00:00"/>
    <d v="2025-02-10T00:00:00"/>
    <s v="F"/>
    <x v="0"/>
    <x v="1"/>
    <x v="0"/>
    <x v="21"/>
    <x v="9"/>
    <x v="5"/>
    <x v="2"/>
  </r>
  <r>
    <s v="TX500746"/>
    <x v="10"/>
    <x v="2"/>
    <n v="58.4"/>
    <n v="175.2"/>
    <d v="2025-02-02T00:00:00"/>
    <d v="2025-02-04T00:00:00"/>
    <s v="F"/>
    <x v="0"/>
    <x v="0"/>
    <x v="0"/>
    <x v="1"/>
    <x v="1"/>
    <x v="5"/>
    <x v="2"/>
  </r>
  <r>
    <s v="TX500747"/>
    <x v="6"/>
    <x v="11"/>
    <n v="65.099999999999994"/>
    <n v="585.9"/>
    <d v="2025-02-02T00:00:00"/>
    <d v="2025-02-06T00:00:00"/>
    <s v="M"/>
    <x v="1"/>
    <x v="2"/>
    <x v="0"/>
    <x v="22"/>
    <x v="5"/>
    <x v="5"/>
    <x v="1"/>
  </r>
  <r>
    <s v="TX500748"/>
    <x v="8"/>
    <x v="0"/>
    <n v="18.600000000000001"/>
    <n v="18.600000000000001"/>
    <d v="2025-02-02T00:00:00"/>
    <d v="2025-02-05T00:00:00"/>
    <s v="F"/>
    <x v="0"/>
    <x v="4"/>
    <x v="0"/>
    <x v="22"/>
    <x v="2"/>
    <x v="5"/>
    <x v="2"/>
  </r>
  <r>
    <s v="TX500749"/>
    <x v="1"/>
    <x v="5"/>
    <n v="92.3"/>
    <n v="1015.3"/>
    <d v="2025-02-02T00:00:00"/>
    <d v="2025-02-04T00:00:00"/>
    <s v="M"/>
    <x v="1"/>
    <x v="0"/>
    <x v="0"/>
    <x v="3"/>
    <x v="1"/>
    <x v="5"/>
    <x v="1"/>
  </r>
  <r>
    <s v="TX500750"/>
    <x v="6"/>
    <x v="2"/>
    <n v="81.7"/>
    <n v="245.10000000000002"/>
    <d v="2025-02-02T00:00:00"/>
    <d v="2025-02-03T00:00:00"/>
    <s v=""/>
    <x v="4"/>
    <x v="4"/>
    <x v="0"/>
    <x v="3"/>
    <x v="3"/>
    <x v="5"/>
    <x v="0"/>
  </r>
  <r>
    <s v="TX500751"/>
    <x v="8"/>
    <x v="1"/>
    <n v="40.9"/>
    <n v="81.8"/>
    <d v="2025-02-02T00:00:00"/>
    <d v="2025-02-04T00:00:00"/>
    <s v="M"/>
    <x v="0"/>
    <x v="1"/>
    <x v="0"/>
    <x v="3"/>
    <x v="1"/>
    <x v="5"/>
    <x v="1"/>
  </r>
  <r>
    <s v="TX500752"/>
    <x v="6"/>
    <x v="12"/>
    <n v="43.2"/>
    <n v="172.8"/>
    <d v="2025-02-02T00:00:00"/>
    <d v="2025-02-08T00:00:00"/>
    <s v="F"/>
    <x v="0"/>
    <x v="1"/>
    <x v="0"/>
    <x v="3"/>
    <x v="4"/>
    <x v="5"/>
    <x v="2"/>
  </r>
  <r>
    <s v="TX500753"/>
    <x v="8"/>
    <x v="5"/>
    <n v="25.8"/>
    <n v="283.8"/>
    <d v="2025-02-02T00:00:00"/>
    <d v="2025-02-05T00:00:00"/>
    <s v="M"/>
    <x v="2"/>
    <x v="1"/>
    <x v="0"/>
    <x v="3"/>
    <x v="2"/>
    <x v="5"/>
    <x v="1"/>
  </r>
  <r>
    <s v="TX500754"/>
    <x v="15"/>
    <x v="12"/>
    <n v="36.4"/>
    <n v="145.6"/>
    <d v="2025-02-02T00:00:00"/>
    <d v="2025-02-03T00:00:00"/>
    <s v="M"/>
    <x v="0"/>
    <x v="0"/>
    <x v="0"/>
    <x v="3"/>
    <x v="3"/>
    <x v="5"/>
    <x v="1"/>
  </r>
  <r>
    <s v="TX500755"/>
    <x v="10"/>
    <x v="0"/>
    <n v="59.1"/>
    <n v="59.1"/>
    <d v="2025-02-02T00:00:00"/>
    <d v="2025-02-03T00:00:00"/>
    <s v="F"/>
    <x v="2"/>
    <x v="0"/>
    <x v="0"/>
    <x v="7"/>
    <x v="3"/>
    <x v="5"/>
    <x v="2"/>
  </r>
  <r>
    <s v="TX500756"/>
    <x v="2"/>
    <x v="14"/>
    <n v="74.5"/>
    <n v="1266.5"/>
    <d v="2025-02-02T00:00:00"/>
    <d v="2025-02-04T00:00:00"/>
    <s v="M"/>
    <x v="4"/>
    <x v="0"/>
    <x v="0"/>
    <x v="18"/>
    <x v="1"/>
    <x v="5"/>
    <x v="1"/>
  </r>
  <r>
    <s v="TX500757"/>
    <x v="5"/>
    <x v="0"/>
    <n v="72.8"/>
    <n v="72.8"/>
    <d v="2025-02-02T00:00:00"/>
    <d v="2025-02-03T00:00:00"/>
    <s v="F"/>
    <x v="0"/>
    <x v="1"/>
    <x v="0"/>
    <x v="19"/>
    <x v="3"/>
    <x v="5"/>
    <x v="2"/>
  </r>
  <r>
    <s v="TX500758"/>
    <x v="6"/>
    <x v="12"/>
    <n v="137.30000000000001"/>
    <n v="549.20000000000005"/>
    <d v="2025-02-02T00:00:00"/>
    <d v="2025-02-05T00:00:00"/>
    <s v="F"/>
    <x v="0"/>
    <x v="0"/>
    <x v="0"/>
    <x v="13"/>
    <x v="2"/>
    <x v="5"/>
    <x v="2"/>
  </r>
  <r>
    <s v="TX500759"/>
    <x v="1"/>
    <x v="2"/>
    <n v="48.7"/>
    <n v="146.10000000000002"/>
    <d v="2025-02-02T00:00:00"/>
    <d v="2025-02-07T00:00:00"/>
    <s v="F"/>
    <x v="0"/>
    <x v="1"/>
    <x v="0"/>
    <x v="21"/>
    <x v="0"/>
    <x v="5"/>
    <x v="2"/>
  </r>
  <r>
    <s v="TX500760"/>
    <x v="6"/>
    <x v="12"/>
    <n v="53.7"/>
    <n v="214.8"/>
    <d v="2025-02-02T00:00:00"/>
    <d v="2025-02-06T00:00:00"/>
    <s v="M"/>
    <x v="1"/>
    <x v="4"/>
    <x v="0"/>
    <x v="2"/>
    <x v="5"/>
    <x v="5"/>
    <x v="1"/>
  </r>
  <r>
    <s v="TX500761"/>
    <x v="2"/>
    <x v="3"/>
    <n v="100.9"/>
    <n v="706.30000000000007"/>
    <d v="2025-02-02T00:00:00"/>
    <d v="2025-02-04T00:00:00"/>
    <s v="F"/>
    <x v="0"/>
    <x v="1"/>
    <x v="0"/>
    <x v="2"/>
    <x v="1"/>
    <x v="5"/>
    <x v="2"/>
  </r>
  <r>
    <s v="TX500762"/>
    <x v="10"/>
    <x v="1"/>
    <n v="41.8"/>
    <n v="83.6"/>
    <d v="2025-02-02T00:00:00"/>
    <d v="2025-02-06T00:00:00"/>
    <s v="M"/>
    <x v="3"/>
    <x v="2"/>
    <x v="0"/>
    <x v="22"/>
    <x v="5"/>
    <x v="5"/>
    <x v="1"/>
  </r>
  <r>
    <s v="TX500763"/>
    <x v="4"/>
    <x v="8"/>
    <n v="28.5"/>
    <n v="228"/>
    <d v="2025-02-02T00:00:00"/>
    <d v="2025-02-04T00:00:00"/>
    <s v="M"/>
    <x v="2"/>
    <x v="1"/>
    <x v="0"/>
    <x v="3"/>
    <x v="1"/>
    <x v="5"/>
    <x v="1"/>
  </r>
  <r>
    <s v="TX500764"/>
    <x v="7"/>
    <x v="12"/>
    <n v="88.9"/>
    <n v="355.6"/>
    <d v="2025-02-02T00:00:00"/>
    <d v="2025-02-05T00:00:00"/>
    <s v="F"/>
    <x v="0"/>
    <x v="2"/>
    <x v="0"/>
    <x v="3"/>
    <x v="2"/>
    <x v="5"/>
    <x v="2"/>
  </r>
  <r>
    <s v="TX500765"/>
    <x v="6"/>
    <x v="0"/>
    <n v="62.5"/>
    <n v="62.5"/>
    <d v="2025-02-02T00:00:00"/>
    <d v="2025-02-11T00:00:00"/>
    <s v="F"/>
    <x v="0"/>
    <x v="2"/>
    <x v="0"/>
    <x v="3"/>
    <x v="8"/>
    <x v="5"/>
    <x v="2"/>
  </r>
  <r>
    <s v="TX500766"/>
    <x v="1"/>
    <x v="2"/>
    <n v="46.9"/>
    <n v="140.69999999999999"/>
    <d v="2025-02-02T00:00:00"/>
    <d v="2025-02-03T00:00:00"/>
    <s v="M"/>
    <x v="0"/>
    <x v="2"/>
    <x v="0"/>
    <x v="3"/>
    <x v="3"/>
    <x v="5"/>
    <x v="1"/>
  </r>
  <r>
    <s v="TX500767"/>
    <x v="8"/>
    <x v="2"/>
    <n v="45"/>
    <n v="135"/>
    <d v="2025-02-02T00:00:00"/>
    <d v="2025-02-16T00:00:00"/>
    <s v="M"/>
    <x v="1"/>
    <x v="0"/>
    <x v="0"/>
    <x v="3"/>
    <x v="12"/>
    <x v="5"/>
    <x v="1"/>
  </r>
  <r>
    <s v="TX500768"/>
    <x v="6"/>
    <x v="2"/>
    <n v="45.2"/>
    <n v="135.60000000000002"/>
    <d v="2025-02-02T00:00:00"/>
    <d v="2025-02-04T00:00:00"/>
    <s v="M"/>
    <x v="4"/>
    <x v="2"/>
    <x v="0"/>
    <x v="3"/>
    <x v="1"/>
    <x v="5"/>
    <x v="1"/>
  </r>
  <r>
    <s v="TX500769"/>
    <x v="4"/>
    <x v="1"/>
    <n v="60.1"/>
    <n v="120.2"/>
    <d v="2025-02-02T00:00:00"/>
    <d v="2025-02-03T00:00:00"/>
    <s v="F"/>
    <x v="0"/>
    <x v="2"/>
    <x v="0"/>
    <x v="3"/>
    <x v="3"/>
    <x v="5"/>
    <x v="2"/>
  </r>
  <r>
    <s v="TX500770"/>
    <x v="12"/>
    <x v="12"/>
    <n v="118.7"/>
    <n v="474.8"/>
    <d v="2025-02-02T00:00:00"/>
    <d v="2025-02-04T00:00:00"/>
    <s v="F"/>
    <x v="0"/>
    <x v="0"/>
    <x v="0"/>
    <x v="3"/>
    <x v="1"/>
    <x v="5"/>
    <x v="2"/>
  </r>
  <r>
    <s v="TX500771"/>
    <x v="9"/>
    <x v="0"/>
    <n v="57.8"/>
    <n v="57.8"/>
    <d v="2025-02-02T00:00:00"/>
    <d v="2025-02-11T00:00:00"/>
    <s v="F"/>
    <x v="1"/>
    <x v="0"/>
    <x v="0"/>
    <x v="3"/>
    <x v="8"/>
    <x v="5"/>
    <x v="2"/>
  </r>
  <r>
    <s v="TX500772"/>
    <x v="4"/>
    <x v="0"/>
    <n v="19.5"/>
    <n v="19.5"/>
    <d v="2025-02-02T00:00:00"/>
    <d v="2025-02-03T00:00:00"/>
    <s v="M"/>
    <x v="1"/>
    <x v="1"/>
    <x v="0"/>
    <x v="3"/>
    <x v="3"/>
    <x v="5"/>
    <x v="1"/>
  </r>
  <r>
    <s v="TX500773"/>
    <x v="12"/>
    <x v="0"/>
    <n v="42.6"/>
    <n v="42.6"/>
    <d v="2025-02-02T00:00:00"/>
    <d v="2025-02-03T00:00:00"/>
    <s v="M"/>
    <x v="0"/>
    <x v="1"/>
    <x v="0"/>
    <x v="3"/>
    <x v="3"/>
    <x v="5"/>
    <x v="1"/>
  </r>
  <r>
    <s v="TX500774"/>
    <x v="6"/>
    <x v="1"/>
    <n v="74.8"/>
    <n v="149.6"/>
    <d v="2025-02-02T00:00:00"/>
    <d v="2025-02-03T00:00:00"/>
    <s v="F"/>
    <x v="3"/>
    <x v="2"/>
    <x v="0"/>
    <x v="37"/>
    <x v="3"/>
    <x v="5"/>
    <x v="2"/>
  </r>
  <r>
    <s v="TX500775"/>
    <x v="8"/>
    <x v="2"/>
    <n v="32.5"/>
    <n v="97.5"/>
    <d v="2025-02-02T00:00:00"/>
    <d v="2025-02-03T00:00:00"/>
    <s v="M"/>
    <x v="2"/>
    <x v="4"/>
    <x v="0"/>
    <x v="16"/>
    <x v="3"/>
    <x v="5"/>
    <x v="1"/>
  </r>
  <r>
    <s v="TX500776"/>
    <x v="2"/>
    <x v="2"/>
    <n v="60.5"/>
    <n v="181.5"/>
    <d v="2025-02-02T00:00:00"/>
    <d v="2025-02-02T00:00:00"/>
    <s v="F"/>
    <x v="1"/>
    <x v="2"/>
    <x v="0"/>
    <x v="25"/>
    <x v="7"/>
    <x v="5"/>
    <x v="2"/>
  </r>
  <r>
    <s v="TX500777"/>
    <x v="1"/>
    <x v="3"/>
    <n v="57.2"/>
    <n v="400.40000000000003"/>
    <d v="2025-02-02T00:00:00"/>
    <d v="2025-02-04T00:00:00"/>
    <s v=""/>
    <x v="2"/>
    <x v="0"/>
    <x v="0"/>
    <x v="25"/>
    <x v="1"/>
    <x v="5"/>
    <x v="0"/>
  </r>
  <r>
    <s v="TX500778"/>
    <x v="16"/>
    <x v="1"/>
    <n v="112"/>
    <n v="224"/>
    <d v="2025-02-02T00:00:00"/>
    <d v="2025-02-03T00:00:00"/>
    <s v="F"/>
    <x v="1"/>
    <x v="1"/>
    <x v="0"/>
    <x v="5"/>
    <x v="3"/>
    <x v="5"/>
    <x v="2"/>
  </r>
  <r>
    <s v="TX500779"/>
    <x v="7"/>
    <x v="7"/>
    <n v="49"/>
    <n v="490"/>
    <d v="2025-02-02T00:00:00"/>
    <d v="2025-02-03T00:00:00"/>
    <s v="O"/>
    <x v="2"/>
    <x v="1"/>
    <x v="0"/>
    <x v="6"/>
    <x v="3"/>
    <x v="5"/>
    <x v="3"/>
  </r>
  <r>
    <s v="TX500780"/>
    <x v="0"/>
    <x v="1"/>
    <n v="33.700000000000003"/>
    <n v="67.400000000000006"/>
    <d v="2025-02-02T00:00:00"/>
    <d v="2025-02-06T00:00:00"/>
    <s v="F"/>
    <x v="3"/>
    <x v="0"/>
    <x v="0"/>
    <x v="6"/>
    <x v="5"/>
    <x v="5"/>
    <x v="2"/>
  </r>
  <r>
    <s v="TX500781"/>
    <x v="4"/>
    <x v="2"/>
    <n v="35.6"/>
    <n v="106.80000000000001"/>
    <d v="2025-02-02T00:00:00"/>
    <d v="2025-02-05T00:00:00"/>
    <s v="F"/>
    <x v="0"/>
    <x v="2"/>
    <x v="0"/>
    <x v="6"/>
    <x v="2"/>
    <x v="5"/>
    <x v="2"/>
  </r>
  <r>
    <s v="TX500782"/>
    <x v="4"/>
    <x v="36"/>
    <n v="30.4"/>
    <n v="1064"/>
    <d v="2025-02-03T00:00:00"/>
    <d v="2025-02-03T00:00:00"/>
    <s v="F"/>
    <x v="0"/>
    <x v="1"/>
    <x v="0"/>
    <x v="7"/>
    <x v="7"/>
    <x v="5"/>
    <x v="2"/>
  </r>
  <r>
    <s v="TX500783"/>
    <x v="10"/>
    <x v="4"/>
    <n v="50.2"/>
    <n v="602.40000000000009"/>
    <d v="2025-02-03T00:00:00"/>
    <d v="2025-02-04T00:00:00"/>
    <s v="M"/>
    <x v="4"/>
    <x v="0"/>
    <x v="0"/>
    <x v="8"/>
    <x v="3"/>
    <x v="5"/>
    <x v="1"/>
  </r>
  <r>
    <s v="TX500784"/>
    <x v="1"/>
    <x v="1"/>
    <n v="43.7"/>
    <n v="87.4"/>
    <d v="2025-02-03T00:00:00"/>
    <d v="2025-02-05T00:00:00"/>
    <s v="F"/>
    <x v="0"/>
    <x v="0"/>
    <x v="0"/>
    <x v="8"/>
    <x v="1"/>
    <x v="5"/>
    <x v="2"/>
  </r>
  <r>
    <s v="TX500785"/>
    <x v="10"/>
    <x v="0"/>
    <n v="33.299999999999997"/>
    <n v="33.299999999999997"/>
    <d v="2025-02-03T00:00:00"/>
    <d v="2025-02-04T00:00:00"/>
    <s v="F"/>
    <x v="2"/>
    <x v="1"/>
    <x v="0"/>
    <x v="8"/>
    <x v="3"/>
    <x v="5"/>
    <x v="2"/>
  </r>
  <r>
    <s v="TX500786"/>
    <x v="8"/>
    <x v="12"/>
    <n v="15.1"/>
    <n v="60.4"/>
    <d v="2025-02-03T00:00:00"/>
    <d v="2025-02-05T00:00:00"/>
    <s v="F"/>
    <x v="4"/>
    <x v="2"/>
    <x v="0"/>
    <x v="8"/>
    <x v="1"/>
    <x v="5"/>
    <x v="2"/>
  </r>
  <r>
    <s v="TX500787"/>
    <x v="6"/>
    <x v="9"/>
    <n v="118.2"/>
    <n v="591"/>
    <d v="2025-02-03T00:00:00"/>
    <d v="2025-02-04T00:00:00"/>
    <s v="F"/>
    <x v="3"/>
    <x v="4"/>
    <x v="0"/>
    <x v="8"/>
    <x v="3"/>
    <x v="5"/>
    <x v="2"/>
  </r>
  <r>
    <s v="TX500788"/>
    <x v="10"/>
    <x v="2"/>
    <n v="28.9"/>
    <n v="86.699999999999989"/>
    <d v="2025-02-03T00:00:00"/>
    <d v="2025-02-05T00:00:00"/>
    <s v="F"/>
    <x v="2"/>
    <x v="1"/>
    <x v="0"/>
    <x v="8"/>
    <x v="1"/>
    <x v="5"/>
    <x v="2"/>
  </r>
  <r>
    <s v="TX500789"/>
    <x v="4"/>
    <x v="2"/>
    <n v="55.6"/>
    <n v="166.8"/>
    <d v="2025-02-03T00:00:00"/>
    <d v="2025-02-04T00:00:00"/>
    <s v="M"/>
    <x v="0"/>
    <x v="1"/>
    <x v="0"/>
    <x v="8"/>
    <x v="3"/>
    <x v="5"/>
    <x v="1"/>
  </r>
  <r>
    <s v="TX500790"/>
    <x v="9"/>
    <x v="12"/>
    <n v="25.6"/>
    <n v="102.4"/>
    <d v="2025-02-03T00:00:00"/>
    <d v="2025-02-05T00:00:00"/>
    <s v="F"/>
    <x v="0"/>
    <x v="1"/>
    <x v="0"/>
    <x v="8"/>
    <x v="1"/>
    <x v="5"/>
    <x v="2"/>
  </r>
  <r>
    <s v="TX500791"/>
    <x v="7"/>
    <x v="2"/>
    <n v="31.3"/>
    <n v="93.9"/>
    <d v="2025-02-03T00:00:00"/>
    <d v="2025-02-04T00:00:00"/>
    <s v="M"/>
    <x v="0"/>
    <x v="0"/>
    <x v="0"/>
    <x v="17"/>
    <x v="3"/>
    <x v="5"/>
    <x v="1"/>
  </r>
  <r>
    <s v="TX500792"/>
    <x v="0"/>
    <x v="2"/>
    <n v="22.1"/>
    <n v="66.300000000000011"/>
    <d v="2025-02-03T00:00:00"/>
    <d v="2025-02-07T00:00:00"/>
    <s v="M"/>
    <x v="0"/>
    <x v="0"/>
    <x v="0"/>
    <x v="17"/>
    <x v="5"/>
    <x v="5"/>
    <x v="1"/>
  </r>
  <r>
    <s v="TX500793"/>
    <x v="2"/>
    <x v="21"/>
    <n v="99.4"/>
    <n v="1391.6000000000001"/>
    <d v="2025-02-03T00:00:00"/>
    <d v="2025-02-04T00:00:00"/>
    <s v="M"/>
    <x v="1"/>
    <x v="0"/>
    <x v="0"/>
    <x v="11"/>
    <x v="3"/>
    <x v="5"/>
    <x v="1"/>
  </r>
  <r>
    <s v="TX500794"/>
    <x v="7"/>
    <x v="13"/>
    <n v="66.599999999999994"/>
    <n v="399.59999999999997"/>
    <d v="2025-02-03T00:00:00"/>
    <d v="2025-02-04T00:00:00"/>
    <s v="F"/>
    <x v="0"/>
    <x v="0"/>
    <x v="0"/>
    <x v="11"/>
    <x v="3"/>
    <x v="5"/>
    <x v="2"/>
  </r>
  <r>
    <s v="TX500795"/>
    <x v="8"/>
    <x v="1"/>
    <n v="22.6"/>
    <n v="45.2"/>
    <d v="2025-02-03T00:00:00"/>
    <d v="2025-02-06T00:00:00"/>
    <s v="M"/>
    <x v="0"/>
    <x v="0"/>
    <x v="0"/>
    <x v="11"/>
    <x v="2"/>
    <x v="5"/>
    <x v="1"/>
  </r>
  <r>
    <s v="TX500796"/>
    <x v="2"/>
    <x v="16"/>
    <n v="66.8"/>
    <n v="1202.3999999999999"/>
    <d v="2025-02-03T00:00:00"/>
    <d v="2025-02-04T00:00:00"/>
    <s v="F"/>
    <x v="0"/>
    <x v="4"/>
    <x v="0"/>
    <x v="13"/>
    <x v="3"/>
    <x v="5"/>
    <x v="2"/>
  </r>
  <r>
    <s v="TX500797"/>
    <x v="0"/>
    <x v="12"/>
    <n v="20.8"/>
    <n v="83.2"/>
    <d v="2025-02-03T00:00:00"/>
    <d v="2025-02-10T00:00:00"/>
    <s v="M"/>
    <x v="1"/>
    <x v="4"/>
    <x v="0"/>
    <x v="1"/>
    <x v="6"/>
    <x v="5"/>
    <x v="1"/>
  </r>
  <r>
    <s v="TX500798"/>
    <x v="2"/>
    <x v="3"/>
    <n v="102.5"/>
    <n v="717.5"/>
    <d v="2025-02-03T00:00:00"/>
    <d v="2025-02-04T00:00:00"/>
    <s v="F"/>
    <x v="4"/>
    <x v="2"/>
    <x v="0"/>
    <x v="3"/>
    <x v="3"/>
    <x v="5"/>
    <x v="2"/>
  </r>
  <r>
    <s v="TX500799"/>
    <x v="0"/>
    <x v="16"/>
    <n v="24.8"/>
    <n v="446.40000000000003"/>
    <d v="2025-02-03T00:00:00"/>
    <d v="2025-02-07T00:00:00"/>
    <s v="F"/>
    <x v="0"/>
    <x v="0"/>
    <x v="0"/>
    <x v="3"/>
    <x v="5"/>
    <x v="5"/>
    <x v="2"/>
  </r>
  <r>
    <s v="TX500800"/>
    <x v="4"/>
    <x v="37"/>
    <n v="31.4"/>
    <n v="973.4"/>
    <d v="2025-02-03T00:00:00"/>
    <d v="2025-02-04T00:00:00"/>
    <s v="F"/>
    <x v="3"/>
    <x v="0"/>
    <x v="0"/>
    <x v="3"/>
    <x v="3"/>
    <x v="5"/>
    <x v="2"/>
  </r>
  <r>
    <s v="TX500801"/>
    <x v="9"/>
    <x v="9"/>
    <n v="59.3"/>
    <n v="296.5"/>
    <d v="2025-02-03T00:00:00"/>
    <d v="2025-02-06T00:00:00"/>
    <s v="M"/>
    <x v="1"/>
    <x v="2"/>
    <x v="0"/>
    <x v="43"/>
    <x v="2"/>
    <x v="5"/>
    <x v="1"/>
  </r>
  <r>
    <s v="TX500802"/>
    <x v="11"/>
    <x v="13"/>
    <n v="39"/>
    <n v="234"/>
    <d v="2025-02-03T00:00:00"/>
    <d v="2025-02-06T00:00:00"/>
    <s v="M"/>
    <x v="1"/>
    <x v="0"/>
    <x v="0"/>
    <x v="6"/>
    <x v="2"/>
    <x v="5"/>
    <x v="1"/>
  </r>
  <r>
    <s v="TX500803"/>
    <x v="5"/>
    <x v="13"/>
    <n v="98.6"/>
    <n v="591.59999999999991"/>
    <d v="2025-02-03T00:00:00"/>
    <d v="2025-02-05T00:00:00"/>
    <s v="F"/>
    <x v="1"/>
    <x v="0"/>
    <x v="0"/>
    <x v="6"/>
    <x v="1"/>
    <x v="5"/>
    <x v="2"/>
  </r>
  <r>
    <s v="TX500804"/>
    <x v="8"/>
    <x v="0"/>
    <n v="20"/>
    <n v="20"/>
    <d v="2025-02-04T00:00:00"/>
    <d v="2025-02-05T00:00:00"/>
    <s v="M"/>
    <x v="3"/>
    <x v="2"/>
    <x v="0"/>
    <x v="8"/>
    <x v="3"/>
    <x v="5"/>
    <x v="1"/>
  </r>
  <r>
    <s v="TX500805"/>
    <x v="1"/>
    <x v="1"/>
    <n v="42.9"/>
    <n v="85.8"/>
    <d v="2025-02-04T00:00:00"/>
    <d v="2025-02-06T00:00:00"/>
    <s v="F"/>
    <x v="0"/>
    <x v="2"/>
    <x v="0"/>
    <x v="8"/>
    <x v="1"/>
    <x v="5"/>
    <x v="2"/>
  </r>
  <r>
    <s v="TX500806"/>
    <x v="7"/>
    <x v="3"/>
    <n v="55.6"/>
    <n v="389.2"/>
    <d v="2025-02-04T00:00:00"/>
    <d v="2025-02-06T00:00:00"/>
    <s v="F"/>
    <x v="2"/>
    <x v="1"/>
    <x v="0"/>
    <x v="8"/>
    <x v="1"/>
    <x v="5"/>
    <x v="2"/>
  </r>
  <r>
    <s v="TX500807"/>
    <x v="8"/>
    <x v="12"/>
    <n v="19.2"/>
    <n v="76.8"/>
    <d v="2025-02-04T00:00:00"/>
    <d v="2025-02-09T00:00:00"/>
    <s v="F"/>
    <x v="0"/>
    <x v="0"/>
    <x v="0"/>
    <x v="41"/>
    <x v="0"/>
    <x v="5"/>
    <x v="2"/>
  </r>
  <r>
    <s v="TX500808"/>
    <x v="5"/>
    <x v="1"/>
    <n v="28.8"/>
    <n v="57.6"/>
    <d v="2025-02-04T00:00:00"/>
    <d v="2025-02-06T00:00:00"/>
    <s v="M"/>
    <x v="1"/>
    <x v="0"/>
    <x v="0"/>
    <x v="18"/>
    <x v="1"/>
    <x v="5"/>
    <x v="1"/>
  </r>
  <r>
    <s v="TX500809"/>
    <x v="4"/>
    <x v="0"/>
    <n v="29.7"/>
    <n v="29.7"/>
    <d v="2025-02-04T00:00:00"/>
    <d v="2025-02-06T00:00:00"/>
    <s v="F"/>
    <x v="2"/>
    <x v="4"/>
    <x v="0"/>
    <x v="20"/>
    <x v="1"/>
    <x v="5"/>
    <x v="2"/>
  </r>
  <r>
    <s v="TX500810"/>
    <x v="6"/>
    <x v="13"/>
    <n v="63.3"/>
    <n v="379.79999999999995"/>
    <d v="2025-02-04T00:00:00"/>
    <d v="2025-02-05T00:00:00"/>
    <s v=""/>
    <x v="0"/>
    <x v="2"/>
    <x v="0"/>
    <x v="21"/>
    <x v="3"/>
    <x v="5"/>
    <x v="0"/>
  </r>
  <r>
    <s v="TX500811"/>
    <x v="4"/>
    <x v="0"/>
    <n v="46"/>
    <n v="46"/>
    <d v="2025-02-04T00:00:00"/>
    <d v="2025-02-05T00:00:00"/>
    <s v="F"/>
    <x v="0"/>
    <x v="2"/>
    <x v="0"/>
    <x v="21"/>
    <x v="3"/>
    <x v="5"/>
    <x v="2"/>
  </r>
  <r>
    <s v="TX500812"/>
    <x v="11"/>
    <x v="2"/>
    <n v="38"/>
    <n v="114"/>
    <d v="2025-02-04T00:00:00"/>
    <d v="2025-02-06T00:00:00"/>
    <s v="F"/>
    <x v="1"/>
    <x v="2"/>
    <x v="0"/>
    <x v="21"/>
    <x v="1"/>
    <x v="5"/>
    <x v="2"/>
  </r>
  <r>
    <s v="TX500813"/>
    <x v="10"/>
    <x v="15"/>
    <n v="34.6"/>
    <n v="449.8"/>
    <d v="2025-02-04T00:00:00"/>
    <d v="2025-02-06T00:00:00"/>
    <s v="F"/>
    <x v="0"/>
    <x v="1"/>
    <x v="0"/>
    <x v="21"/>
    <x v="1"/>
    <x v="5"/>
    <x v="2"/>
  </r>
  <r>
    <s v="TX500814"/>
    <x v="3"/>
    <x v="7"/>
    <n v="79.7"/>
    <n v="797"/>
    <d v="2025-02-04T00:00:00"/>
    <d v="2025-02-05T00:00:00"/>
    <s v="F"/>
    <x v="4"/>
    <x v="1"/>
    <x v="0"/>
    <x v="21"/>
    <x v="3"/>
    <x v="5"/>
    <x v="2"/>
  </r>
  <r>
    <s v="TX500815"/>
    <x v="8"/>
    <x v="8"/>
    <n v="30.5"/>
    <n v="244"/>
    <d v="2025-02-04T00:00:00"/>
    <d v="2025-02-08T00:00:00"/>
    <s v="M"/>
    <x v="3"/>
    <x v="0"/>
    <x v="0"/>
    <x v="1"/>
    <x v="5"/>
    <x v="5"/>
    <x v="1"/>
  </r>
  <r>
    <s v="TX500816"/>
    <x v="0"/>
    <x v="1"/>
    <n v="20.8"/>
    <n v="41.6"/>
    <d v="2025-02-04T00:00:00"/>
    <d v="2025-02-05T00:00:00"/>
    <s v="F"/>
    <x v="0"/>
    <x v="0"/>
    <x v="0"/>
    <x v="2"/>
    <x v="3"/>
    <x v="5"/>
    <x v="2"/>
  </r>
  <r>
    <s v="TX500817"/>
    <x v="11"/>
    <x v="3"/>
    <n v="48.5"/>
    <n v="339.5"/>
    <d v="2025-02-04T00:00:00"/>
    <d v="2025-02-08T00:00:00"/>
    <s v="F"/>
    <x v="2"/>
    <x v="2"/>
    <x v="0"/>
    <x v="2"/>
    <x v="5"/>
    <x v="5"/>
    <x v="2"/>
  </r>
  <r>
    <s v="TX500818"/>
    <x v="2"/>
    <x v="12"/>
    <n v="61.8"/>
    <n v="247.2"/>
    <d v="2025-02-04T00:00:00"/>
    <d v="2025-02-08T00:00:00"/>
    <s v="F"/>
    <x v="4"/>
    <x v="0"/>
    <x v="0"/>
    <x v="22"/>
    <x v="5"/>
    <x v="5"/>
    <x v="2"/>
  </r>
  <r>
    <s v="TX500819"/>
    <x v="10"/>
    <x v="0"/>
    <n v="46.1"/>
    <n v="46.1"/>
    <d v="2025-02-04T00:00:00"/>
    <d v="2025-02-05T00:00:00"/>
    <s v="O"/>
    <x v="2"/>
    <x v="0"/>
    <x v="0"/>
    <x v="3"/>
    <x v="3"/>
    <x v="5"/>
    <x v="3"/>
  </r>
  <r>
    <s v="TX500820"/>
    <x v="4"/>
    <x v="13"/>
    <n v="44"/>
    <n v="264"/>
    <d v="2025-02-04T00:00:00"/>
    <d v="2025-02-05T00:00:00"/>
    <s v="F"/>
    <x v="0"/>
    <x v="0"/>
    <x v="0"/>
    <x v="3"/>
    <x v="3"/>
    <x v="5"/>
    <x v="2"/>
  </r>
  <r>
    <s v="TX500821"/>
    <x v="18"/>
    <x v="1"/>
    <n v="95.7"/>
    <n v="191.4"/>
    <d v="2025-02-04T00:00:00"/>
    <d v="2025-02-10T00:00:00"/>
    <s v="F"/>
    <x v="3"/>
    <x v="2"/>
    <x v="0"/>
    <x v="3"/>
    <x v="4"/>
    <x v="5"/>
    <x v="2"/>
  </r>
  <r>
    <s v="TX500822"/>
    <x v="7"/>
    <x v="9"/>
    <n v="46.4"/>
    <n v="232"/>
    <d v="2025-02-04T00:00:00"/>
    <d v="2025-02-07T00:00:00"/>
    <s v="F"/>
    <x v="0"/>
    <x v="0"/>
    <x v="0"/>
    <x v="3"/>
    <x v="2"/>
    <x v="5"/>
    <x v="2"/>
  </r>
  <r>
    <s v="TX500823"/>
    <x v="6"/>
    <x v="1"/>
    <n v="47.2"/>
    <n v="94.4"/>
    <d v="2025-02-04T00:00:00"/>
    <d v="2025-02-06T00:00:00"/>
    <s v="F"/>
    <x v="0"/>
    <x v="2"/>
    <x v="0"/>
    <x v="3"/>
    <x v="1"/>
    <x v="5"/>
    <x v="2"/>
  </r>
  <r>
    <s v="TX500824"/>
    <x v="7"/>
    <x v="1"/>
    <n v="58.6"/>
    <n v="117.2"/>
    <d v="2025-02-04T00:00:00"/>
    <d v="2025-02-05T00:00:00"/>
    <s v="F"/>
    <x v="2"/>
    <x v="1"/>
    <x v="0"/>
    <x v="3"/>
    <x v="3"/>
    <x v="5"/>
    <x v="2"/>
  </r>
  <r>
    <s v="TX500825"/>
    <x v="4"/>
    <x v="2"/>
    <n v="57"/>
    <n v="171"/>
    <d v="2025-02-04T00:00:00"/>
    <d v="2025-02-05T00:00:00"/>
    <s v="M"/>
    <x v="0"/>
    <x v="2"/>
    <x v="0"/>
    <x v="3"/>
    <x v="3"/>
    <x v="5"/>
    <x v="1"/>
  </r>
  <r>
    <s v="TX500826"/>
    <x v="8"/>
    <x v="12"/>
    <n v="28.9"/>
    <n v="115.6"/>
    <d v="2025-02-04T00:00:00"/>
    <d v="2025-02-08T00:00:00"/>
    <s v="M"/>
    <x v="2"/>
    <x v="0"/>
    <x v="0"/>
    <x v="3"/>
    <x v="5"/>
    <x v="5"/>
    <x v="1"/>
  </r>
  <r>
    <s v="TX500827"/>
    <x v="12"/>
    <x v="9"/>
    <n v="60.7"/>
    <n v="303.5"/>
    <d v="2025-02-04T00:00:00"/>
    <d v="2025-02-08T00:00:00"/>
    <s v=""/>
    <x v="1"/>
    <x v="1"/>
    <x v="0"/>
    <x v="3"/>
    <x v="5"/>
    <x v="5"/>
    <x v="0"/>
  </r>
  <r>
    <s v="TX500828"/>
    <x v="6"/>
    <x v="9"/>
    <n v="60.8"/>
    <n v="304"/>
    <d v="2025-02-04T00:00:00"/>
    <d v="2025-02-08T00:00:00"/>
    <s v="M"/>
    <x v="0"/>
    <x v="1"/>
    <x v="0"/>
    <x v="3"/>
    <x v="5"/>
    <x v="5"/>
    <x v="1"/>
  </r>
  <r>
    <s v="TX500829"/>
    <x v="6"/>
    <x v="9"/>
    <n v="64.599999999999994"/>
    <n v="323"/>
    <d v="2025-02-04T00:00:00"/>
    <d v="2025-02-05T00:00:00"/>
    <s v="F"/>
    <x v="3"/>
    <x v="0"/>
    <x v="0"/>
    <x v="3"/>
    <x v="3"/>
    <x v="5"/>
    <x v="2"/>
  </r>
  <r>
    <s v="TX500830"/>
    <x v="8"/>
    <x v="0"/>
    <n v="21.9"/>
    <n v="21.9"/>
    <d v="2025-02-04T00:00:00"/>
    <d v="2025-02-07T00:00:00"/>
    <s v="M"/>
    <x v="1"/>
    <x v="2"/>
    <x v="0"/>
    <x v="4"/>
    <x v="2"/>
    <x v="5"/>
    <x v="1"/>
  </r>
  <r>
    <s v="TX500831"/>
    <x v="4"/>
    <x v="4"/>
    <n v="33.4"/>
    <n v="400.79999999999995"/>
    <d v="2025-02-04T00:00:00"/>
    <d v="2025-02-06T00:00:00"/>
    <s v="F"/>
    <x v="0"/>
    <x v="0"/>
    <x v="0"/>
    <x v="23"/>
    <x v="1"/>
    <x v="5"/>
    <x v="2"/>
  </r>
  <r>
    <s v="TX500832"/>
    <x v="2"/>
    <x v="0"/>
    <n v="51.7"/>
    <n v="51.7"/>
    <d v="2025-02-04T00:00:00"/>
    <d v="2025-02-05T00:00:00"/>
    <s v=""/>
    <x v="0"/>
    <x v="0"/>
    <x v="0"/>
    <x v="6"/>
    <x v="3"/>
    <x v="5"/>
    <x v="0"/>
  </r>
  <r>
    <s v="TX500833"/>
    <x v="1"/>
    <x v="12"/>
    <n v="84.9"/>
    <n v="339.6"/>
    <d v="2025-02-04T00:00:00"/>
    <d v="2025-02-05T00:00:00"/>
    <s v="F"/>
    <x v="1"/>
    <x v="1"/>
    <x v="0"/>
    <x v="6"/>
    <x v="3"/>
    <x v="5"/>
    <x v="2"/>
  </r>
  <r>
    <s v="TX500834"/>
    <x v="1"/>
    <x v="5"/>
    <n v="62.3"/>
    <n v="685.3"/>
    <d v="2025-02-04T00:00:00"/>
    <d v="2025-02-05T00:00:00"/>
    <s v="F"/>
    <x v="2"/>
    <x v="2"/>
    <x v="0"/>
    <x v="7"/>
    <x v="3"/>
    <x v="5"/>
    <x v="2"/>
  </r>
  <r>
    <s v="TX500835"/>
    <x v="4"/>
    <x v="0"/>
    <n v="50.7"/>
    <n v="50.7"/>
    <d v="2025-02-04T00:00:00"/>
    <d v="2025-02-06T00:00:00"/>
    <s v="M"/>
    <x v="2"/>
    <x v="2"/>
    <x v="0"/>
    <x v="8"/>
    <x v="1"/>
    <x v="5"/>
    <x v="1"/>
  </r>
  <r>
    <s v="TX500836"/>
    <x v="18"/>
    <x v="0"/>
    <n v="39.5"/>
    <n v="39.5"/>
    <d v="2025-02-04T00:00:00"/>
    <d v="2025-02-05T00:00:00"/>
    <s v="M"/>
    <x v="4"/>
    <x v="1"/>
    <x v="0"/>
    <x v="8"/>
    <x v="3"/>
    <x v="5"/>
    <x v="1"/>
  </r>
  <r>
    <s v="TX500837"/>
    <x v="12"/>
    <x v="2"/>
    <n v="30.9"/>
    <n v="92.699999999999989"/>
    <d v="2025-02-04T00:00:00"/>
    <d v="2025-02-05T00:00:00"/>
    <s v=""/>
    <x v="4"/>
    <x v="2"/>
    <x v="0"/>
    <x v="8"/>
    <x v="3"/>
    <x v="5"/>
    <x v="0"/>
  </r>
  <r>
    <s v="TX500838"/>
    <x v="1"/>
    <x v="3"/>
    <n v="36.4"/>
    <n v="254.79999999999998"/>
    <d v="2025-02-04T00:00:00"/>
    <d v="2025-02-07T00:00:00"/>
    <s v="F"/>
    <x v="0"/>
    <x v="2"/>
    <x v="0"/>
    <x v="8"/>
    <x v="2"/>
    <x v="5"/>
    <x v="2"/>
  </r>
  <r>
    <s v="TX500839"/>
    <x v="6"/>
    <x v="8"/>
    <n v="105.6"/>
    <n v="844.8"/>
    <d v="2025-02-04T00:00:00"/>
    <d v="2025-02-14T00:00:00"/>
    <s v="F"/>
    <x v="0"/>
    <x v="0"/>
    <x v="0"/>
    <x v="8"/>
    <x v="14"/>
    <x v="5"/>
    <x v="2"/>
  </r>
  <r>
    <s v="TX500840"/>
    <x v="8"/>
    <x v="1"/>
    <n v="22.1"/>
    <n v="44.2"/>
    <d v="2025-02-04T00:00:00"/>
    <d v="2025-02-05T00:00:00"/>
    <s v="F"/>
    <x v="0"/>
    <x v="2"/>
    <x v="0"/>
    <x v="17"/>
    <x v="3"/>
    <x v="5"/>
    <x v="2"/>
  </r>
  <r>
    <s v="TX500841"/>
    <x v="0"/>
    <x v="2"/>
    <n v="22.6"/>
    <n v="67.800000000000011"/>
    <d v="2025-02-04T00:00:00"/>
    <d v="2025-02-05T00:00:00"/>
    <s v="F"/>
    <x v="2"/>
    <x v="0"/>
    <x v="0"/>
    <x v="17"/>
    <x v="3"/>
    <x v="5"/>
    <x v="2"/>
  </r>
  <r>
    <s v="TX500842"/>
    <x v="10"/>
    <x v="13"/>
    <n v="26.3"/>
    <n v="157.80000000000001"/>
    <d v="2025-02-04T00:00:00"/>
    <d v="2025-02-04T00:00:00"/>
    <s v="F"/>
    <x v="2"/>
    <x v="0"/>
    <x v="0"/>
    <x v="9"/>
    <x v="7"/>
    <x v="5"/>
    <x v="2"/>
  </r>
  <r>
    <s v="TX500843"/>
    <x v="1"/>
    <x v="12"/>
    <n v="37.799999999999997"/>
    <n v="151.19999999999999"/>
    <d v="2025-02-04T00:00:00"/>
    <d v="2025-02-05T00:00:00"/>
    <s v="F"/>
    <x v="0"/>
    <x v="2"/>
    <x v="0"/>
    <x v="11"/>
    <x v="3"/>
    <x v="5"/>
    <x v="2"/>
  </r>
  <r>
    <s v="TX500844"/>
    <x v="6"/>
    <x v="14"/>
    <n v="96"/>
    <n v="1632"/>
    <d v="2025-02-04T00:00:00"/>
    <d v="2025-02-07T00:00:00"/>
    <s v="F"/>
    <x v="4"/>
    <x v="1"/>
    <x v="0"/>
    <x v="18"/>
    <x v="2"/>
    <x v="5"/>
    <x v="2"/>
  </r>
  <r>
    <s v="TX500845"/>
    <x v="1"/>
    <x v="0"/>
    <n v="83.6"/>
    <n v="83.6"/>
    <d v="2025-02-04T00:00:00"/>
    <d v="2025-02-07T00:00:00"/>
    <s v="F"/>
    <x v="2"/>
    <x v="1"/>
    <x v="0"/>
    <x v="19"/>
    <x v="2"/>
    <x v="5"/>
    <x v="2"/>
  </r>
  <r>
    <s v="TX500846"/>
    <x v="2"/>
    <x v="13"/>
    <n v="72.599999999999994"/>
    <n v="435.59999999999997"/>
    <d v="2025-02-04T00:00:00"/>
    <d v="2025-02-05T00:00:00"/>
    <s v="F"/>
    <x v="0"/>
    <x v="0"/>
    <x v="0"/>
    <x v="21"/>
    <x v="3"/>
    <x v="5"/>
    <x v="2"/>
  </r>
  <r>
    <s v="TX500847"/>
    <x v="5"/>
    <x v="28"/>
    <n v="69.099999999999994"/>
    <n v="1382"/>
    <d v="2025-02-05T00:00:00"/>
    <d v="2025-02-11T00:00:00"/>
    <s v="M"/>
    <x v="0"/>
    <x v="2"/>
    <x v="0"/>
    <x v="21"/>
    <x v="4"/>
    <x v="5"/>
    <x v="1"/>
  </r>
  <r>
    <s v="TX500848"/>
    <x v="4"/>
    <x v="1"/>
    <n v="22.6"/>
    <n v="45.2"/>
    <d v="2025-02-05T00:00:00"/>
    <d v="2025-02-07T00:00:00"/>
    <s v="F"/>
    <x v="1"/>
    <x v="2"/>
    <x v="0"/>
    <x v="21"/>
    <x v="1"/>
    <x v="5"/>
    <x v="2"/>
  </r>
  <r>
    <s v="TX500849"/>
    <x v="6"/>
    <x v="1"/>
    <n v="45.3"/>
    <n v="90.6"/>
    <d v="2025-02-05T00:00:00"/>
    <d v="2025-02-09T00:00:00"/>
    <s v="M"/>
    <x v="4"/>
    <x v="2"/>
    <x v="0"/>
    <x v="21"/>
    <x v="5"/>
    <x v="5"/>
    <x v="1"/>
  </r>
  <r>
    <s v="TX500850"/>
    <x v="2"/>
    <x v="1"/>
    <n v="115.1"/>
    <n v="230.2"/>
    <d v="2025-02-05T00:00:00"/>
    <d v="2025-02-06T00:00:00"/>
    <s v="F"/>
    <x v="1"/>
    <x v="0"/>
    <x v="0"/>
    <x v="1"/>
    <x v="3"/>
    <x v="5"/>
    <x v="2"/>
  </r>
  <r>
    <s v="TX500851"/>
    <x v="18"/>
    <x v="12"/>
    <n v="79"/>
    <n v="316"/>
    <d v="2025-02-05T00:00:00"/>
    <d v="2025-02-07T00:00:00"/>
    <s v="M"/>
    <x v="2"/>
    <x v="4"/>
    <x v="0"/>
    <x v="1"/>
    <x v="1"/>
    <x v="5"/>
    <x v="1"/>
  </r>
  <r>
    <s v="TX500852"/>
    <x v="6"/>
    <x v="9"/>
    <n v="52.8"/>
    <n v="264"/>
    <d v="2025-02-05T00:00:00"/>
    <d v="2025-02-06T00:00:00"/>
    <s v="F"/>
    <x v="0"/>
    <x v="0"/>
    <x v="0"/>
    <x v="42"/>
    <x v="3"/>
    <x v="5"/>
    <x v="2"/>
  </r>
  <r>
    <s v="TX500853"/>
    <x v="8"/>
    <x v="1"/>
    <n v="34.1"/>
    <n v="68.2"/>
    <d v="2025-02-05T00:00:00"/>
    <d v="2025-02-06T00:00:00"/>
    <s v="M"/>
    <x v="3"/>
    <x v="2"/>
    <x v="0"/>
    <x v="44"/>
    <x v="3"/>
    <x v="5"/>
    <x v="1"/>
  </r>
  <r>
    <s v="TX500854"/>
    <x v="6"/>
    <x v="9"/>
    <n v="107.9"/>
    <n v="539.5"/>
    <d v="2025-02-05T00:00:00"/>
    <d v="2025-02-05T00:00:00"/>
    <s v="F"/>
    <x v="0"/>
    <x v="2"/>
    <x v="0"/>
    <x v="50"/>
    <x v="7"/>
    <x v="5"/>
    <x v="2"/>
  </r>
  <r>
    <s v="TX500855"/>
    <x v="8"/>
    <x v="15"/>
    <n v="48.5"/>
    <n v="630.5"/>
    <d v="2025-02-05T00:00:00"/>
    <d v="2025-02-05T00:00:00"/>
    <s v="M"/>
    <x v="2"/>
    <x v="2"/>
    <x v="0"/>
    <x v="3"/>
    <x v="7"/>
    <x v="5"/>
    <x v="1"/>
  </r>
  <r>
    <s v="TX500856"/>
    <x v="5"/>
    <x v="2"/>
    <n v="34.700000000000003"/>
    <n v="104.10000000000001"/>
    <d v="2025-02-05T00:00:00"/>
    <d v="2025-02-06T00:00:00"/>
    <s v=""/>
    <x v="4"/>
    <x v="1"/>
    <x v="0"/>
    <x v="3"/>
    <x v="3"/>
    <x v="5"/>
    <x v="0"/>
  </r>
  <r>
    <s v="TX500857"/>
    <x v="8"/>
    <x v="0"/>
    <n v="16.8"/>
    <n v="16.8"/>
    <d v="2025-02-05T00:00:00"/>
    <d v="2025-02-07T00:00:00"/>
    <s v="F"/>
    <x v="3"/>
    <x v="0"/>
    <x v="0"/>
    <x v="3"/>
    <x v="1"/>
    <x v="5"/>
    <x v="2"/>
  </r>
  <r>
    <s v="TX500858"/>
    <x v="8"/>
    <x v="13"/>
    <n v="18.3"/>
    <n v="109.80000000000001"/>
    <d v="2025-02-05T00:00:00"/>
    <d v="2025-02-08T00:00:00"/>
    <s v="F"/>
    <x v="0"/>
    <x v="0"/>
    <x v="0"/>
    <x v="3"/>
    <x v="2"/>
    <x v="5"/>
    <x v="2"/>
  </r>
  <r>
    <s v="TX500859"/>
    <x v="18"/>
    <x v="2"/>
    <n v="55.9"/>
    <n v="167.7"/>
    <d v="2025-02-05T00:00:00"/>
    <d v="2025-02-11T00:00:00"/>
    <s v="M"/>
    <x v="3"/>
    <x v="1"/>
    <x v="0"/>
    <x v="3"/>
    <x v="4"/>
    <x v="5"/>
    <x v="1"/>
  </r>
  <r>
    <s v="TX500860"/>
    <x v="8"/>
    <x v="2"/>
    <n v="39.200000000000003"/>
    <n v="117.60000000000001"/>
    <d v="2025-02-05T00:00:00"/>
    <d v="2025-02-07T00:00:00"/>
    <s v="F"/>
    <x v="0"/>
    <x v="1"/>
    <x v="0"/>
    <x v="3"/>
    <x v="1"/>
    <x v="5"/>
    <x v="2"/>
  </r>
  <r>
    <s v="TX500861"/>
    <x v="15"/>
    <x v="12"/>
    <n v="66.5"/>
    <n v="266"/>
    <d v="2025-02-05T00:00:00"/>
    <d v="2025-02-07T00:00:00"/>
    <s v=""/>
    <x v="3"/>
    <x v="1"/>
    <x v="0"/>
    <x v="3"/>
    <x v="1"/>
    <x v="5"/>
    <x v="0"/>
  </r>
  <r>
    <s v="TX500862"/>
    <x v="6"/>
    <x v="13"/>
    <n v="52.1"/>
    <n v="312.60000000000002"/>
    <d v="2025-02-05T00:00:00"/>
    <d v="2025-02-07T00:00:00"/>
    <s v="M"/>
    <x v="1"/>
    <x v="1"/>
    <x v="0"/>
    <x v="16"/>
    <x v="1"/>
    <x v="5"/>
    <x v="1"/>
  </r>
  <r>
    <s v="TX500863"/>
    <x v="8"/>
    <x v="1"/>
    <n v="19"/>
    <n v="38"/>
    <d v="2025-02-05T00:00:00"/>
    <d v="2025-02-06T00:00:00"/>
    <s v="M"/>
    <x v="4"/>
    <x v="2"/>
    <x v="0"/>
    <x v="6"/>
    <x v="3"/>
    <x v="5"/>
    <x v="1"/>
  </r>
  <r>
    <s v="TX500864"/>
    <x v="7"/>
    <x v="2"/>
    <n v="84.8"/>
    <n v="254.39999999999998"/>
    <d v="2025-02-05T00:00:00"/>
    <d v="2025-02-07T00:00:00"/>
    <s v="F"/>
    <x v="2"/>
    <x v="0"/>
    <x v="0"/>
    <x v="8"/>
    <x v="1"/>
    <x v="5"/>
    <x v="2"/>
  </r>
  <r>
    <s v="TX500865"/>
    <x v="2"/>
    <x v="12"/>
    <n v="63.9"/>
    <n v="255.6"/>
    <d v="2025-02-05T00:00:00"/>
    <d v="2025-02-08T00:00:00"/>
    <s v="F"/>
    <x v="0"/>
    <x v="0"/>
    <x v="0"/>
    <x v="8"/>
    <x v="2"/>
    <x v="5"/>
    <x v="2"/>
  </r>
  <r>
    <s v="TX500866"/>
    <x v="2"/>
    <x v="2"/>
    <n v="65.5"/>
    <n v="196.5"/>
    <d v="2025-02-05T00:00:00"/>
    <d v="2025-02-05T00:00:00"/>
    <s v="F"/>
    <x v="1"/>
    <x v="1"/>
    <x v="0"/>
    <x v="8"/>
    <x v="7"/>
    <x v="5"/>
    <x v="2"/>
  </r>
  <r>
    <s v="TX500867"/>
    <x v="12"/>
    <x v="1"/>
    <n v="116.2"/>
    <n v="232.4"/>
    <d v="2025-02-05T00:00:00"/>
    <d v="2025-02-11T00:00:00"/>
    <s v="M"/>
    <x v="3"/>
    <x v="0"/>
    <x v="0"/>
    <x v="17"/>
    <x v="4"/>
    <x v="5"/>
    <x v="1"/>
  </r>
  <r>
    <s v="TX500868"/>
    <x v="10"/>
    <x v="12"/>
    <n v="22.9"/>
    <n v="91.6"/>
    <d v="2025-02-05T00:00:00"/>
    <d v="2025-02-07T00:00:00"/>
    <s v="F"/>
    <x v="2"/>
    <x v="1"/>
    <x v="0"/>
    <x v="38"/>
    <x v="1"/>
    <x v="5"/>
    <x v="2"/>
  </r>
  <r>
    <s v="TX500869"/>
    <x v="10"/>
    <x v="2"/>
    <n v="53.7"/>
    <n v="161.10000000000002"/>
    <d v="2025-02-05T00:00:00"/>
    <d v="2025-02-06T00:00:00"/>
    <s v="M"/>
    <x v="0"/>
    <x v="4"/>
    <x v="0"/>
    <x v="18"/>
    <x v="3"/>
    <x v="5"/>
    <x v="1"/>
  </r>
  <r>
    <s v="TX500870"/>
    <x v="6"/>
    <x v="9"/>
    <n v="43.2"/>
    <n v="216"/>
    <d v="2025-02-05T00:00:00"/>
    <d v="2025-02-07T00:00:00"/>
    <s v="F"/>
    <x v="0"/>
    <x v="0"/>
    <x v="0"/>
    <x v="19"/>
    <x v="1"/>
    <x v="5"/>
    <x v="2"/>
  </r>
  <r>
    <s v="TX500871"/>
    <x v="1"/>
    <x v="2"/>
    <n v="84.5"/>
    <n v="253.5"/>
    <d v="2025-02-05T00:00:00"/>
    <d v="2025-02-07T00:00:00"/>
    <s v="M"/>
    <x v="2"/>
    <x v="2"/>
    <x v="0"/>
    <x v="51"/>
    <x v="1"/>
    <x v="5"/>
    <x v="1"/>
  </r>
  <r>
    <s v="TX500872"/>
    <x v="3"/>
    <x v="1"/>
    <n v="42.2"/>
    <n v="84.4"/>
    <d v="2025-02-05T00:00:00"/>
    <d v="2025-02-06T00:00:00"/>
    <s v="F"/>
    <x v="1"/>
    <x v="2"/>
    <x v="0"/>
    <x v="1"/>
    <x v="3"/>
    <x v="5"/>
    <x v="2"/>
  </r>
  <r>
    <s v="TX500873"/>
    <x v="2"/>
    <x v="13"/>
    <n v="94.7"/>
    <n v="568.20000000000005"/>
    <d v="2025-02-05T00:00:00"/>
    <d v="2025-02-08T00:00:00"/>
    <s v="F"/>
    <x v="1"/>
    <x v="2"/>
    <x v="0"/>
    <x v="2"/>
    <x v="2"/>
    <x v="5"/>
    <x v="2"/>
  </r>
  <r>
    <s v="TX500874"/>
    <x v="8"/>
    <x v="16"/>
    <n v="16.7"/>
    <n v="300.59999999999997"/>
    <d v="2025-02-05T00:00:00"/>
    <d v="2025-02-17T00:00:00"/>
    <s v="F"/>
    <x v="0"/>
    <x v="2"/>
    <x v="0"/>
    <x v="2"/>
    <x v="13"/>
    <x v="5"/>
    <x v="2"/>
  </r>
  <r>
    <s v="TX500875"/>
    <x v="2"/>
    <x v="1"/>
    <n v="83.6"/>
    <n v="167.2"/>
    <d v="2025-02-05T00:00:00"/>
    <d v="2025-02-11T00:00:00"/>
    <s v="F"/>
    <x v="1"/>
    <x v="0"/>
    <x v="0"/>
    <x v="3"/>
    <x v="4"/>
    <x v="5"/>
    <x v="2"/>
  </r>
  <r>
    <s v="TX500876"/>
    <x v="7"/>
    <x v="13"/>
    <n v="33.6"/>
    <n v="201.60000000000002"/>
    <d v="2025-02-06T00:00:00"/>
    <d v="2025-02-07T00:00:00"/>
    <s v="F"/>
    <x v="3"/>
    <x v="0"/>
    <x v="0"/>
    <x v="3"/>
    <x v="3"/>
    <x v="5"/>
    <x v="2"/>
  </r>
  <r>
    <s v="TX500877"/>
    <x v="7"/>
    <x v="1"/>
    <n v="64.7"/>
    <n v="129.4"/>
    <d v="2025-02-06T00:00:00"/>
    <d v="2025-02-08T00:00:00"/>
    <s v="M"/>
    <x v="1"/>
    <x v="2"/>
    <x v="0"/>
    <x v="3"/>
    <x v="1"/>
    <x v="5"/>
    <x v="1"/>
  </r>
  <r>
    <s v="TX500878"/>
    <x v="0"/>
    <x v="2"/>
    <n v="15.7"/>
    <n v="47.099999999999994"/>
    <d v="2025-02-06T00:00:00"/>
    <d v="2025-02-12T00:00:00"/>
    <s v="F"/>
    <x v="0"/>
    <x v="0"/>
    <x v="0"/>
    <x v="3"/>
    <x v="4"/>
    <x v="5"/>
    <x v="2"/>
  </r>
  <r>
    <s v="TX500879"/>
    <x v="15"/>
    <x v="13"/>
    <n v="49.4"/>
    <n v="296.39999999999998"/>
    <d v="2025-02-06T00:00:00"/>
    <d v="2025-02-06T00:00:00"/>
    <s v="M"/>
    <x v="1"/>
    <x v="0"/>
    <x v="0"/>
    <x v="3"/>
    <x v="7"/>
    <x v="5"/>
    <x v="1"/>
  </r>
  <r>
    <s v="TX500880"/>
    <x v="10"/>
    <x v="13"/>
    <n v="37"/>
    <n v="222"/>
    <d v="2025-02-06T00:00:00"/>
    <d v="2025-02-09T00:00:00"/>
    <s v="F"/>
    <x v="1"/>
    <x v="2"/>
    <x v="0"/>
    <x v="3"/>
    <x v="2"/>
    <x v="5"/>
    <x v="2"/>
  </r>
  <r>
    <s v="TX500881"/>
    <x v="2"/>
    <x v="1"/>
    <n v="83.7"/>
    <n v="167.4"/>
    <d v="2025-02-06T00:00:00"/>
    <d v="2025-02-08T00:00:00"/>
    <s v="F"/>
    <x v="3"/>
    <x v="2"/>
    <x v="0"/>
    <x v="3"/>
    <x v="1"/>
    <x v="5"/>
    <x v="2"/>
  </r>
  <r>
    <s v="TX500882"/>
    <x v="1"/>
    <x v="9"/>
    <n v="35.1"/>
    <n v="175.5"/>
    <d v="2025-02-06T00:00:00"/>
    <d v="2025-02-07T00:00:00"/>
    <s v="F"/>
    <x v="0"/>
    <x v="0"/>
    <x v="0"/>
    <x v="3"/>
    <x v="3"/>
    <x v="5"/>
    <x v="2"/>
  </r>
  <r>
    <s v="TX500883"/>
    <x v="16"/>
    <x v="8"/>
    <n v="74"/>
    <n v="592"/>
    <d v="2025-02-06T00:00:00"/>
    <d v="2025-02-07T00:00:00"/>
    <s v="F"/>
    <x v="4"/>
    <x v="0"/>
    <x v="0"/>
    <x v="37"/>
    <x v="3"/>
    <x v="5"/>
    <x v="2"/>
  </r>
  <r>
    <s v="TX500884"/>
    <x v="6"/>
    <x v="25"/>
    <n v="55.5"/>
    <n v="1332"/>
    <d v="2025-02-06T00:00:00"/>
    <d v="2025-02-09T00:00:00"/>
    <s v="M"/>
    <x v="3"/>
    <x v="0"/>
    <x v="0"/>
    <x v="49"/>
    <x v="2"/>
    <x v="5"/>
    <x v="1"/>
  </r>
  <r>
    <s v="TX500885"/>
    <x v="11"/>
    <x v="1"/>
    <n v="38.9"/>
    <n v="77.8"/>
    <d v="2025-02-06T00:00:00"/>
    <d v="2025-02-08T00:00:00"/>
    <s v="F"/>
    <x v="1"/>
    <x v="2"/>
    <x v="0"/>
    <x v="25"/>
    <x v="1"/>
    <x v="5"/>
    <x v="2"/>
  </r>
  <r>
    <s v="TX500886"/>
    <x v="16"/>
    <x v="1"/>
    <n v="64.599999999999994"/>
    <n v="129.19999999999999"/>
    <d v="2025-02-06T00:00:00"/>
    <d v="2025-02-13T00:00:00"/>
    <s v="M"/>
    <x v="2"/>
    <x v="1"/>
    <x v="0"/>
    <x v="25"/>
    <x v="6"/>
    <x v="5"/>
    <x v="1"/>
  </r>
  <r>
    <s v="TX500887"/>
    <x v="2"/>
    <x v="2"/>
    <n v="95.3"/>
    <n v="285.89999999999998"/>
    <d v="2025-02-06T00:00:00"/>
    <d v="2025-02-07T00:00:00"/>
    <s v="M"/>
    <x v="0"/>
    <x v="0"/>
    <x v="0"/>
    <x v="5"/>
    <x v="3"/>
    <x v="5"/>
    <x v="1"/>
  </r>
  <r>
    <s v="TX500888"/>
    <x v="13"/>
    <x v="2"/>
    <n v="25.8"/>
    <n v="77.400000000000006"/>
    <d v="2025-02-06T00:00:00"/>
    <d v="2025-02-07T00:00:00"/>
    <s v="F"/>
    <x v="1"/>
    <x v="1"/>
    <x v="0"/>
    <x v="6"/>
    <x v="3"/>
    <x v="5"/>
    <x v="2"/>
  </r>
  <r>
    <s v="TX500889"/>
    <x v="0"/>
    <x v="1"/>
    <n v="11.6"/>
    <n v="23.2"/>
    <d v="2025-02-06T00:00:00"/>
    <d v="2025-02-10T00:00:00"/>
    <s v="F"/>
    <x v="1"/>
    <x v="1"/>
    <x v="0"/>
    <x v="6"/>
    <x v="5"/>
    <x v="5"/>
    <x v="2"/>
  </r>
  <r>
    <s v="TX500890"/>
    <x v="7"/>
    <x v="0"/>
    <n v="52.3"/>
    <n v="52.3"/>
    <d v="2025-02-06T00:00:00"/>
    <d v="2025-02-07T00:00:00"/>
    <s v="F"/>
    <x v="1"/>
    <x v="0"/>
    <x v="0"/>
    <x v="8"/>
    <x v="3"/>
    <x v="5"/>
    <x v="2"/>
  </r>
  <r>
    <s v="TX500891"/>
    <x v="2"/>
    <x v="7"/>
    <n v="112.2"/>
    <n v="1122"/>
    <d v="2025-02-06T00:00:00"/>
    <d v="2025-02-07T00:00:00"/>
    <s v="F"/>
    <x v="1"/>
    <x v="1"/>
    <x v="0"/>
    <x v="8"/>
    <x v="3"/>
    <x v="5"/>
    <x v="2"/>
  </r>
  <r>
    <s v="TX500892"/>
    <x v="4"/>
    <x v="9"/>
    <n v="34.6"/>
    <n v="173"/>
    <d v="2025-02-06T00:00:00"/>
    <d v="2025-02-08T00:00:00"/>
    <s v="M"/>
    <x v="2"/>
    <x v="0"/>
    <x v="0"/>
    <x v="8"/>
    <x v="1"/>
    <x v="5"/>
    <x v="1"/>
  </r>
  <r>
    <s v="TX500893"/>
    <x v="14"/>
    <x v="12"/>
    <n v="20.100000000000001"/>
    <n v="80.400000000000006"/>
    <d v="2025-02-06T00:00:00"/>
    <d v="2025-02-12T00:00:00"/>
    <s v="M"/>
    <x v="1"/>
    <x v="2"/>
    <x v="0"/>
    <x v="8"/>
    <x v="4"/>
    <x v="5"/>
    <x v="1"/>
  </r>
  <r>
    <s v="TX500894"/>
    <x v="2"/>
    <x v="12"/>
    <n v="56.4"/>
    <n v="225.6"/>
    <d v="2025-02-06T00:00:00"/>
    <d v="2025-02-08T00:00:00"/>
    <s v="F"/>
    <x v="2"/>
    <x v="0"/>
    <x v="0"/>
    <x v="10"/>
    <x v="1"/>
    <x v="5"/>
    <x v="2"/>
  </r>
  <r>
    <s v="TX500895"/>
    <x v="13"/>
    <x v="11"/>
    <n v="55.3"/>
    <n v="497.7"/>
    <d v="2025-02-06T00:00:00"/>
    <d v="2025-02-08T00:00:00"/>
    <s v="F"/>
    <x v="1"/>
    <x v="4"/>
    <x v="0"/>
    <x v="11"/>
    <x v="1"/>
    <x v="5"/>
    <x v="2"/>
  </r>
  <r>
    <s v="TX500896"/>
    <x v="2"/>
    <x v="31"/>
    <n v="75.5"/>
    <n v="2114"/>
    <d v="2025-02-06T00:00:00"/>
    <d v="2025-02-07T00:00:00"/>
    <s v="F"/>
    <x v="0"/>
    <x v="0"/>
    <x v="0"/>
    <x v="11"/>
    <x v="3"/>
    <x v="5"/>
    <x v="2"/>
  </r>
  <r>
    <s v="TX500897"/>
    <x v="8"/>
    <x v="0"/>
    <n v="23.6"/>
    <n v="23.6"/>
    <d v="2025-02-06T00:00:00"/>
    <d v="2025-02-11T00:00:00"/>
    <s v="F"/>
    <x v="0"/>
    <x v="0"/>
    <x v="0"/>
    <x v="19"/>
    <x v="0"/>
    <x v="5"/>
    <x v="2"/>
  </r>
  <r>
    <s v="TX500898"/>
    <x v="9"/>
    <x v="1"/>
    <n v="70.7"/>
    <n v="141.4"/>
    <d v="2025-02-06T00:00:00"/>
    <d v="2025-02-08T00:00:00"/>
    <s v="F"/>
    <x v="2"/>
    <x v="0"/>
    <x v="0"/>
    <x v="19"/>
    <x v="1"/>
    <x v="5"/>
    <x v="2"/>
  </r>
  <r>
    <s v="TX500899"/>
    <x v="12"/>
    <x v="1"/>
    <n v="43.2"/>
    <n v="86.4"/>
    <d v="2025-02-06T00:00:00"/>
    <d v="2025-02-07T00:00:00"/>
    <s v="F"/>
    <x v="2"/>
    <x v="0"/>
    <x v="0"/>
    <x v="31"/>
    <x v="3"/>
    <x v="5"/>
    <x v="2"/>
  </r>
  <r>
    <s v="TX500900"/>
    <x v="9"/>
    <x v="11"/>
    <n v="70"/>
    <n v="630"/>
    <d v="2025-02-06T00:00:00"/>
    <d v="2025-02-07T00:00:00"/>
    <s v=""/>
    <x v="1"/>
    <x v="0"/>
    <x v="0"/>
    <x v="52"/>
    <x v="3"/>
    <x v="5"/>
    <x v="0"/>
  </r>
  <r>
    <s v="TX500901"/>
    <x v="0"/>
    <x v="1"/>
    <n v="20.5"/>
    <n v="41"/>
    <d v="2025-02-06T00:00:00"/>
    <d v="2025-02-08T00:00:00"/>
    <s v="F"/>
    <x v="2"/>
    <x v="4"/>
    <x v="0"/>
    <x v="13"/>
    <x v="1"/>
    <x v="5"/>
    <x v="2"/>
  </r>
  <r>
    <s v="TX500902"/>
    <x v="0"/>
    <x v="12"/>
    <n v="29.1"/>
    <n v="116.4"/>
    <d v="2025-02-06T00:00:00"/>
    <d v="2025-02-07T00:00:00"/>
    <s v="F"/>
    <x v="3"/>
    <x v="0"/>
    <x v="0"/>
    <x v="28"/>
    <x v="3"/>
    <x v="5"/>
    <x v="2"/>
  </r>
  <r>
    <s v="TX500903"/>
    <x v="6"/>
    <x v="11"/>
    <n v="53.6"/>
    <n v="482.40000000000003"/>
    <d v="2025-02-06T00:00:00"/>
    <d v="2025-02-07T00:00:00"/>
    <s v="M"/>
    <x v="2"/>
    <x v="1"/>
    <x v="0"/>
    <x v="3"/>
    <x v="3"/>
    <x v="5"/>
    <x v="1"/>
  </r>
  <r>
    <s v="TX500904"/>
    <x v="6"/>
    <x v="9"/>
    <n v="72.3"/>
    <n v="361.5"/>
    <d v="2025-02-06T00:00:00"/>
    <d v="2025-02-08T00:00:00"/>
    <s v="F"/>
    <x v="1"/>
    <x v="0"/>
    <x v="0"/>
    <x v="3"/>
    <x v="1"/>
    <x v="5"/>
    <x v="2"/>
  </r>
  <r>
    <s v="TX500905"/>
    <x v="13"/>
    <x v="12"/>
    <n v="22.6"/>
    <n v="90.4"/>
    <d v="2025-02-06T00:00:00"/>
    <d v="2025-02-09T00:00:00"/>
    <s v="O"/>
    <x v="0"/>
    <x v="1"/>
    <x v="0"/>
    <x v="3"/>
    <x v="2"/>
    <x v="5"/>
    <x v="3"/>
  </r>
  <r>
    <s v="TX500906"/>
    <x v="9"/>
    <x v="1"/>
    <n v="44.2"/>
    <n v="88.4"/>
    <d v="2025-02-06T00:00:00"/>
    <d v="2025-02-10T00:00:00"/>
    <s v=""/>
    <x v="2"/>
    <x v="4"/>
    <x v="0"/>
    <x v="3"/>
    <x v="5"/>
    <x v="5"/>
    <x v="0"/>
  </r>
  <r>
    <s v="TX500907"/>
    <x v="9"/>
    <x v="2"/>
    <n v="94.1"/>
    <n v="282.29999999999995"/>
    <d v="2025-02-06T00:00:00"/>
    <d v="2025-02-19T00:00:00"/>
    <s v="F"/>
    <x v="2"/>
    <x v="2"/>
    <x v="0"/>
    <x v="3"/>
    <x v="10"/>
    <x v="5"/>
    <x v="2"/>
  </r>
  <r>
    <s v="TX500908"/>
    <x v="8"/>
    <x v="2"/>
    <n v="17.899999999999999"/>
    <n v="53.699999999999996"/>
    <d v="2025-02-06T00:00:00"/>
    <d v="2025-02-08T00:00:00"/>
    <s v="M"/>
    <x v="1"/>
    <x v="1"/>
    <x v="0"/>
    <x v="3"/>
    <x v="1"/>
    <x v="5"/>
    <x v="1"/>
  </r>
  <r>
    <s v="TX500909"/>
    <x v="12"/>
    <x v="3"/>
    <n v="52.7"/>
    <n v="368.90000000000003"/>
    <d v="2025-02-06T00:00:00"/>
    <d v="2025-02-07T00:00:00"/>
    <s v="M"/>
    <x v="1"/>
    <x v="1"/>
    <x v="0"/>
    <x v="3"/>
    <x v="3"/>
    <x v="5"/>
    <x v="1"/>
  </r>
  <r>
    <s v="TX500910"/>
    <x v="8"/>
    <x v="0"/>
    <n v="36.799999999999997"/>
    <n v="36.799999999999997"/>
    <d v="2025-02-06T00:00:00"/>
    <d v="2025-02-06T00:00:00"/>
    <s v=""/>
    <x v="0"/>
    <x v="2"/>
    <x v="0"/>
    <x v="3"/>
    <x v="7"/>
    <x v="5"/>
    <x v="0"/>
  </r>
  <r>
    <s v="TX500911"/>
    <x v="4"/>
    <x v="0"/>
    <n v="52.5"/>
    <n v="52.5"/>
    <d v="2025-02-06T00:00:00"/>
    <d v="2025-02-07T00:00:00"/>
    <s v="M"/>
    <x v="0"/>
    <x v="1"/>
    <x v="0"/>
    <x v="6"/>
    <x v="3"/>
    <x v="5"/>
    <x v="1"/>
  </r>
  <r>
    <s v="TX500912"/>
    <x v="2"/>
    <x v="1"/>
    <n v="133.80000000000001"/>
    <n v="267.60000000000002"/>
    <d v="2025-02-06T00:00:00"/>
    <d v="2025-02-08T00:00:00"/>
    <s v="M"/>
    <x v="0"/>
    <x v="1"/>
    <x v="0"/>
    <x v="7"/>
    <x v="1"/>
    <x v="5"/>
    <x v="1"/>
  </r>
  <r>
    <s v="TX500913"/>
    <x v="6"/>
    <x v="1"/>
    <n v="53.2"/>
    <n v="106.4"/>
    <d v="2025-02-06T00:00:00"/>
    <d v="2025-02-08T00:00:00"/>
    <s v="M"/>
    <x v="0"/>
    <x v="0"/>
    <x v="0"/>
    <x v="17"/>
    <x v="1"/>
    <x v="5"/>
    <x v="1"/>
  </r>
  <r>
    <s v="TX500914"/>
    <x v="14"/>
    <x v="13"/>
    <n v="18.7"/>
    <n v="112.19999999999999"/>
    <d v="2025-02-06T00:00:00"/>
    <d v="2025-02-08T00:00:00"/>
    <s v=""/>
    <x v="0"/>
    <x v="1"/>
    <x v="0"/>
    <x v="10"/>
    <x v="1"/>
    <x v="5"/>
    <x v="0"/>
  </r>
  <r>
    <s v="TX500915"/>
    <x v="6"/>
    <x v="12"/>
    <n v="108.8"/>
    <n v="435.2"/>
    <d v="2025-02-06T00:00:00"/>
    <d v="2025-02-07T00:00:00"/>
    <s v="F"/>
    <x v="3"/>
    <x v="2"/>
    <x v="0"/>
    <x v="11"/>
    <x v="3"/>
    <x v="5"/>
    <x v="2"/>
  </r>
  <r>
    <s v="TX500916"/>
    <x v="15"/>
    <x v="9"/>
    <n v="38.5"/>
    <n v="192.5"/>
    <d v="2025-02-06T00:00:00"/>
    <d v="2025-02-10T00:00:00"/>
    <s v="F"/>
    <x v="0"/>
    <x v="1"/>
    <x v="0"/>
    <x v="14"/>
    <x v="5"/>
    <x v="5"/>
    <x v="2"/>
  </r>
  <r>
    <s v="TX500917"/>
    <x v="10"/>
    <x v="7"/>
    <n v="46.5"/>
    <n v="465"/>
    <d v="2025-02-06T00:00:00"/>
    <d v="2025-02-08T00:00:00"/>
    <s v="M"/>
    <x v="2"/>
    <x v="1"/>
    <x v="0"/>
    <x v="2"/>
    <x v="1"/>
    <x v="5"/>
    <x v="1"/>
  </r>
  <r>
    <s v="TX500918"/>
    <x v="2"/>
    <x v="2"/>
    <n v="75.8"/>
    <n v="227.39999999999998"/>
    <d v="2025-02-06T00:00:00"/>
    <d v="2025-02-10T00:00:00"/>
    <s v="F"/>
    <x v="1"/>
    <x v="4"/>
    <x v="0"/>
    <x v="44"/>
    <x v="5"/>
    <x v="5"/>
    <x v="2"/>
  </r>
  <r>
    <s v="TX500919"/>
    <x v="8"/>
    <x v="0"/>
    <n v="20.9"/>
    <n v="20.9"/>
    <d v="2025-02-06T00:00:00"/>
    <d v="2025-02-10T00:00:00"/>
    <s v="M"/>
    <x v="0"/>
    <x v="0"/>
    <x v="0"/>
    <x v="22"/>
    <x v="5"/>
    <x v="5"/>
    <x v="1"/>
  </r>
  <r>
    <s v="TX500920"/>
    <x v="18"/>
    <x v="2"/>
    <n v="47.4"/>
    <n v="142.19999999999999"/>
    <d v="2025-02-06T00:00:00"/>
    <d v="2025-02-09T00:00:00"/>
    <s v="F"/>
    <x v="0"/>
    <x v="0"/>
    <x v="0"/>
    <x v="3"/>
    <x v="2"/>
    <x v="5"/>
    <x v="2"/>
  </r>
  <r>
    <s v="TX500921"/>
    <x v="9"/>
    <x v="1"/>
    <n v="53.8"/>
    <n v="107.6"/>
    <d v="2025-02-06T00:00:00"/>
    <d v="2025-02-07T00:00:00"/>
    <s v=""/>
    <x v="0"/>
    <x v="1"/>
    <x v="0"/>
    <x v="3"/>
    <x v="3"/>
    <x v="5"/>
    <x v="0"/>
  </r>
  <r>
    <s v="TX500922"/>
    <x v="8"/>
    <x v="2"/>
    <n v="24.6"/>
    <n v="73.800000000000011"/>
    <d v="2025-02-06T00:00:00"/>
    <d v="2025-02-08T00:00:00"/>
    <s v="O"/>
    <x v="1"/>
    <x v="2"/>
    <x v="0"/>
    <x v="3"/>
    <x v="1"/>
    <x v="5"/>
    <x v="3"/>
  </r>
  <r>
    <s v="TX500923"/>
    <x v="9"/>
    <x v="2"/>
    <n v="70.900000000000006"/>
    <n v="212.70000000000002"/>
    <d v="2025-02-06T00:00:00"/>
    <d v="2025-02-11T00:00:00"/>
    <s v="F"/>
    <x v="2"/>
    <x v="2"/>
    <x v="0"/>
    <x v="3"/>
    <x v="0"/>
    <x v="5"/>
    <x v="2"/>
  </r>
  <r>
    <s v="TX500924"/>
    <x v="17"/>
    <x v="2"/>
    <n v="31.9"/>
    <n v="95.699999999999989"/>
    <d v="2025-02-06T00:00:00"/>
    <d v="2025-02-08T00:00:00"/>
    <s v="F"/>
    <x v="2"/>
    <x v="2"/>
    <x v="0"/>
    <x v="3"/>
    <x v="1"/>
    <x v="5"/>
    <x v="2"/>
  </r>
  <r>
    <s v="TX500925"/>
    <x v="0"/>
    <x v="1"/>
    <n v="20.399999999999999"/>
    <n v="40.799999999999997"/>
    <d v="2025-02-06T00:00:00"/>
    <d v="2025-02-10T00:00:00"/>
    <s v="M"/>
    <x v="3"/>
    <x v="2"/>
    <x v="0"/>
    <x v="3"/>
    <x v="5"/>
    <x v="5"/>
    <x v="1"/>
  </r>
  <r>
    <s v="TX500926"/>
    <x v="8"/>
    <x v="1"/>
    <n v="18.600000000000001"/>
    <n v="37.200000000000003"/>
    <d v="2025-02-06T00:00:00"/>
    <d v="2025-02-08T00:00:00"/>
    <s v=""/>
    <x v="0"/>
    <x v="1"/>
    <x v="0"/>
    <x v="3"/>
    <x v="1"/>
    <x v="5"/>
    <x v="0"/>
  </r>
  <r>
    <s v="TX500927"/>
    <x v="4"/>
    <x v="9"/>
    <n v="48.3"/>
    <n v="241.5"/>
    <d v="2025-02-06T00:00:00"/>
    <d v="2025-02-08T00:00:00"/>
    <s v="F"/>
    <x v="1"/>
    <x v="0"/>
    <x v="0"/>
    <x v="3"/>
    <x v="1"/>
    <x v="5"/>
    <x v="2"/>
  </r>
  <r>
    <s v="TX500928"/>
    <x v="0"/>
    <x v="12"/>
    <n v="27.7"/>
    <n v="110.8"/>
    <d v="2025-02-06T00:00:00"/>
    <d v="2025-02-08T00:00:00"/>
    <s v="F"/>
    <x v="0"/>
    <x v="0"/>
    <x v="0"/>
    <x v="3"/>
    <x v="1"/>
    <x v="5"/>
    <x v="2"/>
  </r>
  <r>
    <s v="TX500929"/>
    <x v="4"/>
    <x v="9"/>
    <n v="22.5"/>
    <n v="112.5"/>
    <d v="2025-02-06T00:00:00"/>
    <d v="2025-02-08T00:00:00"/>
    <s v="F"/>
    <x v="4"/>
    <x v="2"/>
    <x v="0"/>
    <x v="3"/>
    <x v="1"/>
    <x v="5"/>
    <x v="2"/>
  </r>
  <r>
    <s v="TX500930"/>
    <x v="17"/>
    <x v="9"/>
    <n v="21.6"/>
    <n v="108"/>
    <d v="2025-02-06T00:00:00"/>
    <d v="2025-02-14T00:00:00"/>
    <s v="F"/>
    <x v="0"/>
    <x v="1"/>
    <x v="0"/>
    <x v="3"/>
    <x v="9"/>
    <x v="5"/>
    <x v="2"/>
  </r>
  <r>
    <s v="TX500931"/>
    <x v="10"/>
    <x v="3"/>
    <n v="26.3"/>
    <n v="184.1"/>
    <d v="2025-02-06T00:00:00"/>
    <d v="2025-02-06T00:00:00"/>
    <s v="F"/>
    <x v="2"/>
    <x v="1"/>
    <x v="0"/>
    <x v="3"/>
    <x v="7"/>
    <x v="5"/>
    <x v="2"/>
  </r>
  <r>
    <s v="TX500932"/>
    <x v="6"/>
    <x v="3"/>
    <n v="103"/>
    <n v="721"/>
    <d v="2025-02-07T00:00:00"/>
    <d v="2025-02-08T00:00:00"/>
    <s v="M"/>
    <x v="0"/>
    <x v="2"/>
    <x v="0"/>
    <x v="6"/>
    <x v="3"/>
    <x v="5"/>
    <x v="1"/>
  </r>
  <r>
    <s v="TX500933"/>
    <x v="5"/>
    <x v="20"/>
    <n v="46.6"/>
    <n v="699"/>
    <d v="2025-02-07T00:00:00"/>
    <d v="2025-02-08T00:00:00"/>
    <s v="F"/>
    <x v="0"/>
    <x v="1"/>
    <x v="0"/>
    <x v="6"/>
    <x v="3"/>
    <x v="5"/>
    <x v="2"/>
  </r>
  <r>
    <s v="TX500934"/>
    <x v="0"/>
    <x v="9"/>
    <n v="32.200000000000003"/>
    <n v="161"/>
    <d v="2025-02-07T00:00:00"/>
    <d v="2025-02-10T00:00:00"/>
    <s v="F"/>
    <x v="0"/>
    <x v="2"/>
    <x v="0"/>
    <x v="36"/>
    <x v="2"/>
    <x v="5"/>
    <x v="2"/>
  </r>
  <r>
    <s v="TX500935"/>
    <x v="8"/>
    <x v="2"/>
    <n v="22"/>
    <n v="66"/>
    <d v="2025-02-07T00:00:00"/>
    <d v="2025-02-14T00:00:00"/>
    <s v="M"/>
    <x v="1"/>
    <x v="0"/>
    <x v="0"/>
    <x v="7"/>
    <x v="6"/>
    <x v="5"/>
    <x v="1"/>
  </r>
  <r>
    <s v="TX500936"/>
    <x v="0"/>
    <x v="1"/>
    <n v="25.2"/>
    <n v="50.4"/>
    <d v="2025-02-07T00:00:00"/>
    <d v="2025-02-11T00:00:00"/>
    <s v="F"/>
    <x v="0"/>
    <x v="0"/>
    <x v="0"/>
    <x v="7"/>
    <x v="5"/>
    <x v="5"/>
    <x v="2"/>
  </r>
  <r>
    <s v="TX500937"/>
    <x v="1"/>
    <x v="13"/>
    <n v="68.7"/>
    <n v="412.20000000000005"/>
    <d v="2025-02-07T00:00:00"/>
    <d v="2025-02-09T00:00:00"/>
    <s v="M"/>
    <x v="4"/>
    <x v="0"/>
    <x v="0"/>
    <x v="8"/>
    <x v="1"/>
    <x v="5"/>
    <x v="1"/>
  </r>
  <r>
    <s v="TX500938"/>
    <x v="0"/>
    <x v="2"/>
    <n v="22.2"/>
    <n v="66.599999999999994"/>
    <d v="2025-02-07T00:00:00"/>
    <d v="2025-02-10T00:00:00"/>
    <s v="M"/>
    <x v="2"/>
    <x v="2"/>
    <x v="0"/>
    <x v="8"/>
    <x v="2"/>
    <x v="5"/>
    <x v="1"/>
  </r>
  <r>
    <s v="TX500939"/>
    <x v="1"/>
    <x v="3"/>
    <n v="36"/>
    <n v="252"/>
    <d v="2025-02-07T00:00:00"/>
    <d v="2025-02-08T00:00:00"/>
    <s v="F"/>
    <x v="1"/>
    <x v="0"/>
    <x v="0"/>
    <x v="8"/>
    <x v="3"/>
    <x v="5"/>
    <x v="2"/>
  </r>
  <r>
    <s v="TX500940"/>
    <x v="18"/>
    <x v="0"/>
    <n v="50.6"/>
    <n v="50.6"/>
    <d v="2025-02-07T00:00:00"/>
    <d v="2025-02-09T00:00:00"/>
    <s v="F"/>
    <x v="0"/>
    <x v="1"/>
    <x v="0"/>
    <x v="8"/>
    <x v="1"/>
    <x v="5"/>
    <x v="2"/>
  </r>
  <r>
    <s v="TX500941"/>
    <x v="15"/>
    <x v="1"/>
    <n v="44.9"/>
    <n v="89.8"/>
    <d v="2025-02-07T00:00:00"/>
    <d v="2025-02-09T00:00:00"/>
    <s v="M"/>
    <x v="0"/>
    <x v="1"/>
    <x v="0"/>
    <x v="8"/>
    <x v="1"/>
    <x v="5"/>
    <x v="1"/>
  </r>
  <r>
    <s v="TX500942"/>
    <x v="6"/>
    <x v="2"/>
    <n v="71.599999999999994"/>
    <n v="214.79999999999998"/>
    <d v="2025-02-07T00:00:00"/>
    <d v="2025-02-11T00:00:00"/>
    <s v="M"/>
    <x v="1"/>
    <x v="2"/>
    <x v="0"/>
    <x v="10"/>
    <x v="5"/>
    <x v="5"/>
    <x v="1"/>
  </r>
  <r>
    <s v="TX500943"/>
    <x v="6"/>
    <x v="13"/>
    <n v="51.5"/>
    <n v="309"/>
    <d v="2025-02-07T00:00:00"/>
    <d v="2025-02-09T00:00:00"/>
    <s v=""/>
    <x v="4"/>
    <x v="0"/>
    <x v="0"/>
    <x v="11"/>
    <x v="1"/>
    <x v="5"/>
    <x v="0"/>
  </r>
  <r>
    <s v="TX500944"/>
    <x v="7"/>
    <x v="9"/>
    <n v="55.5"/>
    <n v="277.5"/>
    <d v="2025-02-07T00:00:00"/>
    <d v="2025-02-08T00:00:00"/>
    <s v="M"/>
    <x v="1"/>
    <x v="1"/>
    <x v="0"/>
    <x v="11"/>
    <x v="3"/>
    <x v="5"/>
    <x v="1"/>
  </r>
  <r>
    <s v="TX500945"/>
    <x v="6"/>
    <x v="0"/>
    <n v="51.7"/>
    <n v="51.7"/>
    <d v="2025-02-07T00:00:00"/>
    <d v="2025-02-21T00:00:00"/>
    <s v="M"/>
    <x v="2"/>
    <x v="0"/>
    <x v="0"/>
    <x v="19"/>
    <x v="12"/>
    <x v="5"/>
    <x v="1"/>
  </r>
  <r>
    <s v="TX500946"/>
    <x v="8"/>
    <x v="38"/>
    <n v="45.5"/>
    <n v="955.5"/>
    <d v="2025-02-07T00:00:00"/>
    <d v="2025-02-08T00:00:00"/>
    <s v="F"/>
    <x v="3"/>
    <x v="2"/>
    <x v="0"/>
    <x v="19"/>
    <x v="3"/>
    <x v="5"/>
    <x v="2"/>
  </r>
  <r>
    <s v="TX500947"/>
    <x v="8"/>
    <x v="1"/>
    <n v="33.799999999999997"/>
    <n v="67.599999999999994"/>
    <d v="2025-02-07T00:00:00"/>
    <d v="2025-02-13T00:00:00"/>
    <s v="F"/>
    <x v="3"/>
    <x v="0"/>
    <x v="0"/>
    <x v="20"/>
    <x v="4"/>
    <x v="5"/>
    <x v="2"/>
  </r>
  <r>
    <s v="TX500948"/>
    <x v="3"/>
    <x v="2"/>
    <n v="76.5"/>
    <n v="229.5"/>
    <d v="2025-02-07T00:00:00"/>
    <d v="2025-02-08T00:00:00"/>
    <s v="F"/>
    <x v="0"/>
    <x v="1"/>
    <x v="0"/>
    <x v="21"/>
    <x v="3"/>
    <x v="5"/>
    <x v="2"/>
  </r>
  <r>
    <s v="TX500949"/>
    <x v="9"/>
    <x v="2"/>
    <n v="42.6"/>
    <n v="127.80000000000001"/>
    <d v="2025-02-07T00:00:00"/>
    <d v="2025-02-13T00:00:00"/>
    <s v="F"/>
    <x v="2"/>
    <x v="2"/>
    <x v="0"/>
    <x v="2"/>
    <x v="4"/>
    <x v="5"/>
    <x v="2"/>
  </r>
  <r>
    <s v="TX500950"/>
    <x v="6"/>
    <x v="2"/>
    <n v="44.1"/>
    <n v="132.30000000000001"/>
    <d v="2025-02-07T00:00:00"/>
    <d v="2025-02-09T00:00:00"/>
    <s v="F"/>
    <x v="1"/>
    <x v="1"/>
    <x v="0"/>
    <x v="22"/>
    <x v="1"/>
    <x v="5"/>
    <x v="2"/>
  </r>
  <r>
    <s v="TX500951"/>
    <x v="8"/>
    <x v="1"/>
    <n v="40.9"/>
    <n v="81.8"/>
    <d v="2025-02-07T00:00:00"/>
    <d v="2025-02-11T00:00:00"/>
    <s v="M"/>
    <x v="0"/>
    <x v="0"/>
    <x v="0"/>
    <x v="3"/>
    <x v="5"/>
    <x v="5"/>
    <x v="1"/>
  </r>
  <r>
    <s v="TX500952"/>
    <x v="9"/>
    <x v="2"/>
    <n v="49.1"/>
    <n v="147.30000000000001"/>
    <d v="2025-02-07T00:00:00"/>
    <d v="2025-02-11T00:00:00"/>
    <s v="F"/>
    <x v="3"/>
    <x v="1"/>
    <x v="0"/>
    <x v="3"/>
    <x v="5"/>
    <x v="5"/>
    <x v="2"/>
  </r>
  <r>
    <s v="TX500953"/>
    <x v="18"/>
    <x v="0"/>
    <n v="85.3"/>
    <n v="85.3"/>
    <d v="2025-02-07T00:00:00"/>
    <d v="2025-02-11T00:00:00"/>
    <s v="M"/>
    <x v="1"/>
    <x v="1"/>
    <x v="0"/>
    <x v="3"/>
    <x v="5"/>
    <x v="5"/>
    <x v="1"/>
  </r>
  <r>
    <s v="TX500954"/>
    <x v="6"/>
    <x v="12"/>
    <n v="43.1"/>
    <n v="172.4"/>
    <d v="2025-02-08T00:00:00"/>
    <d v="2025-02-11T00:00:00"/>
    <s v="M"/>
    <x v="0"/>
    <x v="0"/>
    <x v="0"/>
    <x v="3"/>
    <x v="2"/>
    <x v="5"/>
    <x v="1"/>
  </r>
  <r>
    <s v="TX500955"/>
    <x v="4"/>
    <x v="12"/>
    <n v="46.2"/>
    <n v="184.8"/>
    <d v="2025-02-08T00:00:00"/>
    <d v="2025-02-09T00:00:00"/>
    <s v="M"/>
    <x v="2"/>
    <x v="0"/>
    <x v="0"/>
    <x v="3"/>
    <x v="3"/>
    <x v="5"/>
    <x v="1"/>
  </r>
  <r>
    <s v="TX500956"/>
    <x v="1"/>
    <x v="0"/>
    <n v="74.400000000000006"/>
    <n v="74.400000000000006"/>
    <d v="2025-02-08T00:00:00"/>
    <d v="2025-02-10T00:00:00"/>
    <s v="M"/>
    <x v="4"/>
    <x v="2"/>
    <x v="0"/>
    <x v="3"/>
    <x v="1"/>
    <x v="5"/>
    <x v="1"/>
  </r>
  <r>
    <s v="TX500957"/>
    <x v="17"/>
    <x v="1"/>
    <n v="51.2"/>
    <n v="102.4"/>
    <d v="2025-02-08T00:00:00"/>
    <d v="2025-02-09T00:00:00"/>
    <s v="M"/>
    <x v="1"/>
    <x v="0"/>
    <x v="0"/>
    <x v="3"/>
    <x v="3"/>
    <x v="5"/>
    <x v="1"/>
  </r>
  <r>
    <s v="TX500958"/>
    <x v="14"/>
    <x v="12"/>
    <n v="11.8"/>
    <n v="47.2"/>
    <d v="2025-02-08T00:00:00"/>
    <d v="2025-02-08T00:00:00"/>
    <s v="M"/>
    <x v="2"/>
    <x v="0"/>
    <x v="0"/>
    <x v="3"/>
    <x v="7"/>
    <x v="5"/>
    <x v="1"/>
  </r>
  <r>
    <s v="TX500959"/>
    <x v="10"/>
    <x v="6"/>
    <n v="40.799999999999997"/>
    <n v="1101.5999999999999"/>
    <d v="2025-02-08T00:00:00"/>
    <d v="2025-02-09T00:00:00"/>
    <s v="F"/>
    <x v="3"/>
    <x v="2"/>
    <x v="0"/>
    <x v="3"/>
    <x v="3"/>
    <x v="5"/>
    <x v="2"/>
  </r>
  <r>
    <s v="TX500960"/>
    <x v="8"/>
    <x v="0"/>
    <n v="24.7"/>
    <n v="24.7"/>
    <d v="2025-02-08T00:00:00"/>
    <d v="2025-02-10T00:00:00"/>
    <s v="F"/>
    <x v="2"/>
    <x v="1"/>
    <x v="0"/>
    <x v="3"/>
    <x v="1"/>
    <x v="5"/>
    <x v="2"/>
  </r>
  <r>
    <s v="TX500961"/>
    <x v="8"/>
    <x v="3"/>
    <n v="22.1"/>
    <n v="154.70000000000002"/>
    <d v="2025-02-08T00:00:00"/>
    <d v="2025-02-08T00:00:00"/>
    <s v="F"/>
    <x v="2"/>
    <x v="4"/>
    <x v="0"/>
    <x v="3"/>
    <x v="7"/>
    <x v="5"/>
    <x v="2"/>
  </r>
  <r>
    <s v="TX500962"/>
    <x v="8"/>
    <x v="0"/>
    <n v="18.100000000000001"/>
    <n v="18.100000000000001"/>
    <d v="2025-02-08T00:00:00"/>
    <d v="2025-02-12T00:00:00"/>
    <s v="M"/>
    <x v="3"/>
    <x v="2"/>
    <x v="0"/>
    <x v="3"/>
    <x v="5"/>
    <x v="5"/>
    <x v="1"/>
  </r>
  <r>
    <s v="TX500963"/>
    <x v="17"/>
    <x v="1"/>
    <n v="58.8"/>
    <n v="117.6"/>
    <d v="2025-02-08T00:00:00"/>
    <d v="2025-02-11T00:00:00"/>
    <s v="F"/>
    <x v="0"/>
    <x v="0"/>
    <x v="0"/>
    <x v="25"/>
    <x v="2"/>
    <x v="5"/>
    <x v="2"/>
  </r>
  <r>
    <s v="TX500964"/>
    <x v="18"/>
    <x v="1"/>
    <n v="30.8"/>
    <n v="61.6"/>
    <d v="2025-02-08T00:00:00"/>
    <d v="2025-02-09T00:00:00"/>
    <s v="F"/>
    <x v="0"/>
    <x v="0"/>
    <x v="0"/>
    <x v="6"/>
    <x v="3"/>
    <x v="5"/>
    <x v="2"/>
  </r>
  <r>
    <s v="TX500965"/>
    <x v="0"/>
    <x v="1"/>
    <n v="12"/>
    <n v="24"/>
    <d v="2025-02-08T00:00:00"/>
    <d v="2025-02-12T00:00:00"/>
    <s v="F"/>
    <x v="0"/>
    <x v="0"/>
    <x v="0"/>
    <x v="6"/>
    <x v="5"/>
    <x v="5"/>
    <x v="2"/>
  </r>
  <r>
    <s v="TX500966"/>
    <x v="0"/>
    <x v="12"/>
    <n v="13.6"/>
    <n v="54.4"/>
    <d v="2025-02-08T00:00:00"/>
    <d v="2025-02-11T00:00:00"/>
    <s v="M"/>
    <x v="2"/>
    <x v="0"/>
    <x v="0"/>
    <x v="6"/>
    <x v="2"/>
    <x v="5"/>
    <x v="1"/>
  </r>
  <r>
    <s v="TX500967"/>
    <x v="0"/>
    <x v="0"/>
    <n v="17.899999999999999"/>
    <n v="17.899999999999999"/>
    <d v="2025-02-08T00:00:00"/>
    <d v="2025-02-09T00:00:00"/>
    <s v="M"/>
    <x v="3"/>
    <x v="0"/>
    <x v="0"/>
    <x v="6"/>
    <x v="3"/>
    <x v="5"/>
    <x v="1"/>
  </r>
  <r>
    <s v="TX500968"/>
    <x v="9"/>
    <x v="1"/>
    <n v="38.6"/>
    <n v="77.2"/>
    <d v="2025-02-08T00:00:00"/>
    <d v="2025-02-12T00:00:00"/>
    <s v="F"/>
    <x v="4"/>
    <x v="0"/>
    <x v="0"/>
    <x v="7"/>
    <x v="5"/>
    <x v="5"/>
    <x v="2"/>
  </r>
  <r>
    <s v="TX500969"/>
    <x v="5"/>
    <x v="9"/>
    <n v="32.700000000000003"/>
    <n v="163.5"/>
    <d v="2025-02-08T00:00:00"/>
    <d v="2025-02-09T00:00:00"/>
    <s v="M"/>
    <x v="2"/>
    <x v="2"/>
    <x v="0"/>
    <x v="8"/>
    <x v="3"/>
    <x v="5"/>
    <x v="1"/>
  </r>
  <r>
    <s v="TX500970"/>
    <x v="3"/>
    <x v="1"/>
    <n v="111.4"/>
    <n v="222.8"/>
    <d v="2025-02-08T00:00:00"/>
    <d v="2025-02-09T00:00:00"/>
    <s v="F"/>
    <x v="1"/>
    <x v="0"/>
    <x v="0"/>
    <x v="8"/>
    <x v="3"/>
    <x v="5"/>
    <x v="2"/>
  </r>
  <r>
    <s v="TX500971"/>
    <x v="2"/>
    <x v="13"/>
    <n v="80.3"/>
    <n v="481.79999999999995"/>
    <d v="2025-02-08T00:00:00"/>
    <d v="2025-02-10T00:00:00"/>
    <s v="F"/>
    <x v="1"/>
    <x v="0"/>
    <x v="0"/>
    <x v="8"/>
    <x v="1"/>
    <x v="5"/>
    <x v="2"/>
  </r>
  <r>
    <s v="TX500972"/>
    <x v="6"/>
    <x v="1"/>
    <n v="58.9"/>
    <n v="117.8"/>
    <d v="2025-02-08T00:00:00"/>
    <d v="2025-02-09T00:00:00"/>
    <s v="M"/>
    <x v="1"/>
    <x v="0"/>
    <x v="0"/>
    <x v="8"/>
    <x v="3"/>
    <x v="5"/>
    <x v="1"/>
  </r>
  <r>
    <s v="TX500973"/>
    <x v="6"/>
    <x v="2"/>
    <n v="51.9"/>
    <n v="155.69999999999999"/>
    <d v="2025-02-08T00:00:00"/>
    <d v="2025-02-10T00:00:00"/>
    <s v="F"/>
    <x v="1"/>
    <x v="4"/>
    <x v="0"/>
    <x v="8"/>
    <x v="1"/>
    <x v="5"/>
    <x v="2"/>
  </r>
  <r>
    <s v="TX500974"/>
    <x v="2"/>
    <x v="2"/>
    <n v="50.3"/>
    <n v="150.89999999999998"/>
    <d v="2025-02-08T00:00:00"/>
    <d v="2025-02-09T00:00:00"/>
    <s v="M"/>
    <x v="2"/>
    <x v="0"/>
    <x v="0"/>
    <x v="17"/>
    <x v="3"/>
    <x v="5"/>
    <x v="1"/>
  </r>
  <r>
    <s v="TX500975"/>
    <x v="11"/>
    <x v="13"/>
    <n v="45"/>
    <n v="270"/>
    <d v="2025-02-08T00:00:00"/>
    <d v="2025-02-14T00:00:00"/>
    <s v="F"/>
    <x v="3"/>
    <x v="0"/>
    <x v="0"/>
    <x v="9"/>
    <x v="4"/>
    <x v="5"/>
    <x v="2"/>
  </r>
  <r>
    <s v="TX500976"/>
    <x v="10"/>
    <x v="13"/>
    <n v="44.7"/>
    <n v="268.20000000000005"/>
    <d v="2025-02-08T00:00:00"/>
    <d v="2025-02-10T00:00:00"/>
    <s v="F"/>
    <x v="2"/>
    <x v="0"/>
    <x v="0"/>
    <x v="11"/>
    <x v="1"/>
    <x v="5"/>
    <x v="2"/>
  </r>
  <r>
    <s v="TX500977"/>
    <x v="18"/>
    <x v="20"/>
    <n v="33"/>
    <n v="495"/>
    <d v="2025-02-08T00:00:00"/>
    <d v="2025-02-09T00:00:00"/>
    <s v="F"/>
    <x v="2"/>
    <x v="0"/>
    <x v="0"/>
    <x v="11"/>
    <x v="3"/>
    <x v="5"/>
    <x v="2"/>
  </r>
  <r>
    <s v="TX500978"/>
    <x v="1"/>
    <x v="9"/>
    <n v="44.9"/>
    <n v="224.5"/>
    <d v="2025-02-08T00:00:00"/>
    <d v="2025-02-11T00:00:00"/>
    <s v="F"/>
    <x v="2"/>
    <x v="2"/>
    <x v="0"/>
    <x v="18"/>
    <x v="2"/>
    <x v="5"/>
    <x v="2"/>
  </r>
  <r>
    <s v="TX500979"/>
    <x v="10"/>
    <x v="1"/>
    <n v="34.6"/>
    <n v="69.2"/>
    <d v="2025-02-08T00:00:00"/>
    <d v="2025-02-12T00:00:00"/>
    <s v="F"/>
    <x v="0"/>
    <x v="1"/>
    <x v="0"/>
    <x v="19"/>
    <x v="5"/>
    <x v="5"/>
    <x v="2"/>
  </r>
  <r>
    <s v="TX500980"/>
    <x v="7"/>
    <x v="3"/>
    <n v="47.1"/>
    <n v="329.7"/>
    <d v="2025-02-08T00:00:00"/>
    <d v="2025-02-13T00:00:00"/>
    <s v="F"/>
    <x v="0"/>
    <x v="0"/>
    <x v="0"/>
    <x v="13"/>
    <x v="0"/>
    <x v="5"/>
    <x v="2"/>
  </r>
  <r>
    <s v="TX500981"/>
    <x v="4"/>
    <x v="9"/>
    <n v="26.1"/>
    <n v="130.5"/>
    <d v="2025-02-08T00:00:00"/>
    <d v="2025-02-13T00:00:00"/>
    <s v="M"/>
    <x v="0"/>
    <x v="2"/>
    <x v="0"/>
    <x v="21"/>
    <x v="0"/>
    <x v="5"/>
    <x v="1"/>
  </r>
  <r>
    <s v="TX500982"/>
    <x v="12"/>
    <x v="9"/>
    <n v="66.8"/>
    <n v="334"/>
    <d v="2025-02-08T00:00:00"/>
    <d v="2025-02-11T00:00:00"/>
    <s v="F"/>
    <x v="0"/>
    <x v="0"/>
    <x v="0"/>
    <x v="21"/>
    <x v="2"/>
    <x v="5"/>
    <x v="2"/>
  </r>
  <r>
    <s v="TX500983"/>
    <x v="2"/>
    <x v="1"/>
    <n v="167.9"/>
    <n v="335.8"/>
    <d v="2025-02-08T00:00:00"/>
    <d v="2025-02-09T00:00:00"/>
    <s v="F"/>
    <x v="3"/>
    <x v="2"/>
    <x v="0"/>
    <x v="21"/>
    <x v="3"/>
    <x v="5"/>
    <x v="2"/>
  </r>
  <r>
    <s v="TX500984"/>
    <x v="10"/>
    <x v="11"/>
    <n v="34.6"/>
    <n v="311.40000000000003"/>
    <d v="2025-02-08T00:00:00"/>
    <d v="2025-02-09T00:00:00"/>
    <s v="F"/>
    <x v="2"/>
    <x v="1"/>
    <x v="0"/>
    <x v="21"/>
    <x v="3"/>
    <x v="5"/>
    <x v="2"/>
  </r>
  <r>
    <s v="TX500985"/>
    <x v="8"/>
    <x v="2"/>
    <n v="35.1"/>
    <n v="105.30000000000001"/>
    <d v="2025-02-09T00:00:00"/>
    <d v="2025-02-13T00:00:00"/>
    <s v="M"/>
    <x v="4"/>
    <x v="2"/>
    <x v="0"/>
    <x v="1"/>
    <x v="5"/>
    <x v="6"/>
    <x v="1"/>
  </r>
  <r>
    <s v="TX500986"/>
    <x v="6"/>
    <x v="12"/>
    <n v="104.5"/>
    <n v="418"/>
    <d v="2025-02-09T00:00:00"/>
    <d v="2025-02-10T00:00:00"/>
    <s v="M"/>
    <x v="1"/>
    <x v="1"/>
    <x v="0"/>
    <x v="1"/>
    <x v="3"/>
    <x v="6"/>
    <x v="1"/>
  </r>
  <r>
    <s v="TX500987"/>
    <x v="8"/>
    <x v="0"/>
    <n v="37.9"/>
    <n v="37.9"/>
    <d v="2025-02-09T00:00:00"/>
    <d v="2025-02-11T00:00:00"/>
    <s v=""/>
    <x v="1"/>
    <x v="2"/>
    <x v="0"/>
    <x v="2"/>
    <x v="1"/>
    <x v="6"/>
    <x v="0"/>
  </r>
  <r>
    <s v="TX500988"/>
    <x v="4"/>
    <x v="2"/>
    <n v="25.5"/>
    <n v="76.5"/>
    <d v="2025-02-09T00:00:00"/>
    <d v="2025-02-12T00:00:00"/>
    <s v="M"/>
    <x v="3"/>
    <x v="0"/>
    <x v="0"/>
    <x v="2"/>
    <x v="2"/>
    <x v="6"/>
    <x v="1"/>
  </r>
  <r>
    <s v="TX500989"/>
    <x v="0"/>
    <x v="2"/>
    <n v="32"/>
    <n v="96"/>
    <d v="2025-02-09T00:00:00"/>
    <d v="2025-02-13T00:00:00"/>
    <s v="F"/>
    <x v="1"/>
    <x v="0"/>
    <x v="0"/>
    <x v="22"/>
    <x v="5"/>
    <x v="6"/>
    <x v="2"/>
  </r>
  <r>
    <s v="TX500990"/>
    <x v="1"/>
    <x v="0"/>
    <n v="47.1"/>
    <n v="47.1"/>
    <d v="2025-02-09T00:00:00"/>
    <d v="2025-02-10T00:00:00"/>
    <s v="F"/>
    <x v="0"/>
    <x v="0"/>
    <x v="0"/>
    <x v="34"/>
    <x v="3"/>
    <x v="6"/>
    <x v="2"/>
  </r>
  <r>
    <s v="TX500991"/>
    <x v="6"/>
    <x v="1"/>
    <n v="50.6"/>
    <n v="101.2"/>
    <d v="2025-02-09T00:00:00"/>
    <d v="2025-02-15T00:00:00"/>
    <s v=""/>
    <x v="0"/>
    <x v="0"/>
    <x v="0"/>
    <x v="3"/>
    <x v="4"/>
    <x v="6"/>
    <x v="0"/>
  </r>
  <r>
    <s v="TX500992"/>
    <x v="6"/>
    <x v="9"/>
    <n v="81.7"/>
    <n v="408.5"/>
    <d v="2025-02-09T00:00:00"/>
    <d v="2025-02-10T00:00:00"/>
    <s v="F"/>
    <x v="1"/>
    <x v="2"/>
    <x v="0"/>
    <x v="3"/>
    <x v="3"/>
    <x v="6"/>
    <x v="2"/>
  </r>
  <r>
    <s v="TX500993"/>
    <x v="5"/>
    <x v="1"/>
    <n v="50.7"/>
    <n v="101.4"/>
    <d v="2025-02-09T00:00:00"/>
    <d v="2025-02-10T00:00:00"/>
    <s v="O"/>
    <x v="2"/>
    <x v="2"/>
    <x v="0"/>
    <x v="3"/>
    <x v="3"/>
    <x v="6"/>
    <x v="3"/>
  </r>
  <r>
    <s v="TX500994"/>
    <x v="2"/>
    <x v="10"/>
    <n v="67.3"/>
    <n v="1278.7"/>
    <d v="2025-02-09T00:00:00"/>
    <d v="2025-02-13T00:00:00"/>
    <s v="F"/>
    <x v="2"/>
    <x v="0"/>
    <x v="0"/>
    <x v="3"/>
    <x v="5"/>
    <x v="6"/>
    <x v="2"/>
  </r>
  <r>
    <s v="TX500995"/>
    <x v="2"/>
    <x v="12"/>
    <n v="64.8"/>
    <n v="259.2"/>
    <d v="2025-02-09T00:00:00"/>
    <d v="2025-02-12T00:00:00"/>
    <s v="F"/>
    <x v="3"/>
    <x v="0"/>
    <x v="0"/>
    <x v="3"/>
    <x v="2"/>
    <x v="6"/>
    <x v="2"/>
  </r>
  <r>
    <s v="TX500996"/>
    <x v="5"/>
    <x v="32"/>
    <n v="61.3"/>
    <n v="1348.6"/>
    <d v="2025-02-09T00:00:00"/>
    <d v="2025-02-10T00:00:00"/>
    <s v="F"/>
    <x v="0"/>
    <x v="2"/>
    <x v="0"/>
    <x v="3"/>
    <x v="3"/>
    <x v="6"/>
    <x v="2"/>
  </r>
  <r>
    <s v="TX500997"/>
    <x v="14"/>
    <x v="0"/>
    <n v="32.9"/>
    <n v="32.9"/>
    <d v="2025-02-09T00:00:00"/>
    <d v="2025-02-12T00:00:00"/>
    <s v="F"/>
    <x v="4"/>
    <x v="0"/>
    <x v="0"/>
    <x v="3"/>
    <x v="2"/>
    <x v="6"/>
    <x v="2"/>
  </r>
  <r>
    <s v="TX500998"/>
    <x v="6"/>
    <x v="1"/>
    <n v="100.8"/>
    <n v="201.6"/>
    <d v="2025-02-09T00:00:00"/>
    <d v="2025-02-12T00:00:00"/>
    <s v="F"/>
    <x v="0"/>
    <x v="0"/>
    <x v="0"/>
    <x v="3"/>
    <x v="2"/>
    <x v="6"/>
    <x v="2"/>
  </r>
  <r>
    <s v="TX500999"/>
    <x v="8"/>
    <x v="12"/>
    <n v="25.1"/>
    <n v="100.4"/>
    <d v="2025-02-09T00:00:00"/>
    <d v="2025-02-11T00:00:00"/>
    <s v="F"/>
    <x v="1"/>
    <x v="0"/>
    <x v="0"/>
    <x v="3"/>
    <x v="1"/>
    <x v="6"/>
    <x v="2"/>
  </r>
  <r>
    <s v="TX501000"/>
    <x v="17"/>
    <x v="0"/>
    <n v="48.5"/>
    <n v="48.5"/>
    <d v="2025-02-09T00:00:00"/>
    <d v="2025-02-10T00:00:00"/>
    <s v="F"/>
    <x v="0"/>
    <x v="1"/>
    <x v="0"/>
    <x v="3"/>
    <x v="3"/>
    <x v="6"/>
    <x v="2"/>
  </r>
  <r>
    <s v="TX501001"/>
    <x v="7"/>
    <x v="1"/>
    <n v="33.6"/>
    <n v="67.2"/>
    <d v="2025-02-09T00:00:00"/>
    <d v="2025-02-13T00:00:00"/>
    <s v="F"/>
    <x v="2"/>
    <x v="2"/>
    <x v="0"/>
    <x v="3"/>
    <x v="5"/>
    <x v="6"/>
    <x v="2"/>
  </r>
  <r>
    <s v="TX501002"/>
    <x v="8"/>
    <x v="0"/>
    <n v="39.299999999999997"/>
    <n v="39.299999999999997"/>
    <d v="2025-02-09T00:00:00"/>
    <d v="2025-02-20T00:00:00"/>
    <s v="F"/>
    <x v="1"/>
    <x v="1"/>
    <x v="0"/>
    <x v="49"/>
    <x v="11"/>
    <x v="6"/>
    <x v="2"/>
  </r>
  <r>
    <s v="TX501003"/>
    <x v="4"/>
    <x v="7"/>
    <n v="48.8"/>
    <n v="488"/>
    <d v="2025-02-09T00:00:00"/>
    <d v="2025-02-11T00:00:00"/>
    <s v="F"/>
    <x v="3"/>
    <x v="1"/>
    <x v="0"/>
    <x v="25"/>
    <x v="1"/>
    <x v="6"/>
    <x v="2"/>
  </r>
  <r>
    <s v="TX501004"/>
    <x v="6"/>
    <x v="8"/>
    <n v="72.8"/>
    <n v="582.4"/>
    <d v="2025-02-09T00:00:00"/>
    <d v="2025-02-11T00:00:00"/>
    <s v="M"/>
    <x v="1"/>
    <x v="2"/>
    <x v="0"/>
    <x v="5"/>
    <x v="1"/>
    <x v="6"/>
    <x v="1"/>
  </r>
  <r>
    <s v="TX501005"/>
    <x v="10"/>
    <x v="8"/>
    <n v="46.2"/>
    <n v="369.6"/>
    <d v="2025-02-09T00:00:00"/>
    <d v="2025-02-10T00:00:00"/>
    <s v="M"/>
    <x v="3"/>
    <x v="4"/>
    <x v="0"/>
    <x v="5"/>
    <x v="3"/>
    <x v="6"/>
    <x v="1"/>
  </r>
  <r>
    <s v="TX501006"/>
    <x v="4"/>
    <x v="1"/>
    <n v="20.7"/>
    <n v="41.4"/>
    <d v="2025-02-09T00:00:00"/>
    <d v="2025-02-10T00:00:00"/>
    <s v="F"/>
    <x v="2"/>
    <x v="3"/>
    <x v="0"/>
    <x v="6"/>
    <x v="3"/>
    <x v="6"/>
    <x v="2"/>
  </r>
  <r>
    <s v="TX501007"/>
    <x v="0"/>
    <x v="0"/>
    <n v="35.700000000000003"/>
    <n v="35.700000000000003"/>
    <d v="2025-02-09T00:00:00"/>
    <d v="2025-02-11T00:00:00"/>
    <s v="F"/>
    <x v="3"/>
    <x v="0"/>
    <x v="0"/>
    <x v="6"/>
    <x v="1"/>
    <x v="6"/>
    <x v="2"/>
  </r>
  <r>
    <s v="TX501008"/>
    <x v="2"/>
    <x v="27"/>
    <n v="166.2"/>
    <n v="2659.2"/>
    <d v="2025-02-09T00:00:00"/>
    <d v="2025-02-11T00:00:00"/>
    <s v=""/>
    <x v="2"/>
    <x v="0"/>
    <x v="0"/>
    <x v="7"/>
    <x v="1"/>
    <x v="6"/>
    <x v="0"/>
  </r>
  <r>
    <s v="TX501009"/>
    <x v="6"/>
    <x v="12"/>
    <n v="85.8"/>
    <n v="343.2"/>
    <d v="2025-02-09T00:00:00"/>
    <d v="2025-02-10T00:00:00"/>
    <s v="F"/>
    <x v="1"/>
    <x v="1"/>
    <x v="0"/>
    <x v="7"/>
    <x v="3"/>
    <x v="6"/>
    <x v="2"/>
  </r>
  <r>
    <s v="TX501010"/>
    <x v="8"/>
    <x v="2"/>
    <n v="26"/>
    <n v="78"/>
    <d v="2025-02-09T00:00:00"/>
    <d v="2025-02-11T00:00:00"/>
    <s v="O"/>
    <x v="1"/>
    <x v="0"/>
    <x v="0"/>
    <x v="7"/>
    <x v="1"/>
    <x v="6"/>
    <x v="3"/>
  </r>
  <r>
    <s v="TX501011"/>
    <x v="2"/>
    <x v="15"/>
    <n v="116.6"/>
    <n v="1515.8"/>
    <d v="2025-02-09T00:00:00"/>
    <d v="2025-02-12T00:00:00"/>
    <s v="F"/>
    <x v="0"/>
    <x v="0"/>
    <x v="0"/>
    <x v="8"/>
    <x v="2"/>
    <x v="6"/>
    <x v="2"/>
  </r>
  <r>
    <s v="TX501012"/>
    <x v="9"/>
    <x v="3"/>
    <n v="53.9"/>
    <n v="377.3"/>
    <d v="2025-02-09T00:00:00"/>
    <d v="2025-02-12T00:00:00"/>
    <s v="O"/>
    <x v="0"/>
    <x v="2"/>
    <x v="0"/>
    <x v="8"/>
    <x v="2"/>
    <x v="6"/>
    <x v="3"/>
  </r>
  <r>
    <s v="TX501013"/>
    <x v="12"/>
    <x v="9"/>
    <n v="72.3"/>
    <n v="361.5"/>
    <d v="2025-02-09T00:00:00"/>
    <d v="2025-02-11T00:00:00"/>
    <s v=""/>
    <x v="2"/>
    <x v="2"/>
    <x v="0"/>
    <x v="8"/>
    <x v="1"/>
    <x v="6"/>
    <x v="0"/>
  </r>
  <r>
    <s v="TX501014"/>
    <x v="5"/>
    <x v="1"/>
    <n v="31.4"/>
    <n v="62.8"/>
    <d v="2025-02-09T00:00:00"/>
    <d v="2025-02-11T00:00:00"/>
    <s v="F"/>
    <x v="0"/>
    <x v="0"/>
    <x v="0"/>
    <x v="8"/>
    <x v="1"/>
    <x v="6"/>
    <x v="2"/>
  </r>
  <r>
    <s v="TX501015"/>
    <x v="13"/>
    <x v="1"/>
    <n v="53.1"/>
    <n v="106.2"/>
    <d v="2025-02-09T00:00:00"/>
    <d v="2025-02-12T00:00:00"/>
    <s v="M"/>
    <x v="1"/>
    <x v="0"/>
    <x v="0"/>
    <x v="8"/>
    <x v="2"/>
    <x v="6"/>
    <x v="1"/>
  </r>
  <r>
    <s v="TX501016"/>
    <x v="2"/>
    <x v="12"/>
    <n v="56.2"/>
    <n v="224.8"/>
    <d v="2025-02-09T00:00:00"/>
    <d v="2025-02-10T00:00:00"/>
    <s v="F"/>
    <x v="0"/>
    <x v="0"/>
    <x v="0"/>
    <x v="8"/>
    <x v="3"/>
    <x v="6"/>
    <x v="2"/>
  </r>
  <r>
    <s v="TX501017"/>
    <x v="1"/>
    <x v="7"/>
    <n v="77.3"/>
    <n v="773"/>
    <d v="2025-02-09T00:00:00"/>
    <d v="2025-02-10T00:00:00"/>
    <s v="F"/>
    <x v="2"/>
    <x v="0"/>
    <x v="0"/>
    <x v="11"/>
    <x v="3"/>
    <x v="6"/>
    <x v="2"/>
  </r>
  <r>
    <s v="TX501018"/>
    <x v="6"/>
    <x v="15"/>
    <n v="57.8"/>
    <n v="751.4"/>
    <d v="2025-02-09T00:00:00"/>
    <d v="2025-02-10T00:00:00"/>
    <s v=""/>
    <x v="0"/>
    <x v="0"/>
    <x v="0"/>
    <x v="53"/>
    <x v="3"/>
    <x v="6"/>
    <x v="0"/>
  </r>
  <r>
    <s v="TX501019"/>
    <x v="12"/>
    <x v="20"/>
    <n v="42.1"/>
    <n v="631.5"/>
    <d v="2025-02-09T00:00:00"/>
    <d v="2025-02-11T00:00:00"/>
    <s v="F"/>
    <x v="1"/>
    <x v="1"/>
    <x v="0"/>
    <x v="53"/>
    <x v="1"/>
    <x v="6"/>
    <x v="2"/>
  </r>
  <r>
    <s v="TX501020"/>
    <x v="8"/>
    <x v="11"/>
    <n v="22.8"/>
    <n v="205.20000000000002"/>
    <d v="2025-02-09T00:00:00"/>
    <d v="2025-02-13T00:00:00"/>
    <s v="M"/>
    <x v="2"/>
    <x v="2"/>
    <x v="0"/>
    <x v="19"/>
    <x v="5"/>
    <x v="6"/>
    <x v="1"/>
  </r>
  <r>
    <s v="TX501021"/>
    <x v="2"/>
    <x v="2"/>
    <n v="171.1"/>
    <n v="513.29999999999995"/>
    <d v="2025-02-10T00:00:00"/>
    <d v="2025-02-17T00:00:00"/>
    <s v="F"/>
    <x v="2"/>
    <x v="1"/>
    <x v="0"/>
    <x v="19"/>
    <x v="6"/>
    <x v="6"/>
    <x v="2"/>
  </r>
  <r>
    <s v="TX501022"/>
    <x v="8"/>
    <x v="0"/>
    <n v="28"/>
    <n v="28"/>
    <d v="2025-02-10T00:00:00"/>
    <d v="2025-02-12T00:00:00"/>
    <s v="M"/>
    <x v="2"/>
    <x v="2"/>
    <x v="0"/>
    <x v="21"/>
    <x v="1"/>
    <x v="6"/>
    <x v="1"/>
  </r>
  <r>
    <s v="TX501023"/>
    <x v="6"/>
    <x v="3"/>
    <n v="50.2"/>
    <n v="351.40000000000003"/>
    <d v="2025-02-10T00:00:00"/>
    <d v="2025-02-12T00:00:00"/>
    <s v="M"/>
    <x v="2"/>
    <x v="0"/>
    <x v="0"/>
    <x v="21"/>
    <x v="1"/>
    <x v="6"/>
    <x v="1"/>
  </r>
  <r>
    <s v="TX501024"/>
    <x v="6"/>
    <x v="1"/>
    <n v="56"/>
    <n v="112"/>
    <d v="2025-02-10T00:00:00"/>
    <d v="2025-02-10T00:00:00"/>
    <s v="M"/>
    <x v="0"/>
    <x v="2"/>
    <x v="0"/>
    <x v="22"/>
    <x v="7"/>
    <x v="6"/>
    <x v="1"/>
  </r>
  <r>
    <s v="TX501025"/>
    <x v="1"/>
    <x v="1"/>
    <n v="38.299999999999997"/>
    <n v="76.599999999999994"/>
    <d v="2025-02-10T00:00:00"/>
    <d v="2025-02-11T00:00:00"/>
    <s v="F"/>
    <x v="1"/>
    <x v="0"/>
    <x v="0"/>
    <x v="3"/>
    <x v="3"/>
    <x v="6"/>
    <x v="2"/>
  </r>
  <r>
    <s v="TX501026"/>
    <x v="0"/>
    <x v="9"/>
    <n v="22.3"/>
    <n v="111.5"/>
    <d v="2025-02-10T00:00:00"/>
    <d v="2025-02-14T00:00:00"/>
    <s v="F"/>
    <x v="2"/>
    <x v="1"/>
    <x v="0"/>
    <x v="3"/>
    <x v="5"/>
    <x v="6"/>
    <x v="2"/>
  </r>
  <r>
    <s v="TX501027"/>
    <x v="0"/>
    <x v="2"/>
    <n v="22.3"/>
    <n v="66.900000000000006"/>
    <d v="2025-02-10T00:00:00"/>
    <d v="2025-02-13T00:00:00"/>
    <s v="F"/>
    <x v="2"/>
    <x v="0"/>
    <x v="0"/>
    <x v="3"/>
    <x v="2"/>
    <x v="6"/>
    <x v="2"/>
  </r>
  <r>
    <s v="TX501028"/>
    <x v="1"/>
    <x v="0"/>
    <n v="32.9"/>
    <n v="32.9"/>
    <d v="2025-02-10T00:00:00"/>
    <d v="2025-02-15T00:00:00"/>
    <s v="F"/>
    <x v="0"/>
    <x v="0"/>
    <x v="0"/>
    <x v="3"/>
    <x v="0"/>
    <x v="6"/>
    <x v="2"/>
  </r>
  <r>
    <s v="TX501029"/>
    <x v="10"/>
    <x v="2"/>
    <n v="31.9"/>
    <n v="95.699999999999989"/>
    <d v="2025-02-10T00:00:00"/>
    <d v="2025-02-15T00:00:00"/>
    <s v="F"/>
    <x v="0"/>
    <x v="0"/>
    <x v="0"/>
    <x v="3"/>
    <x v="0"/>
    <x v="6"/>
    <x v="2"/>
  </r>
  <r>
    <s v="TX501030"/>
    <x v="6"/>
    <x v="1"/>
    <n v="94"/>
    <n v="188"/>
    <d v="2025-02-10T00:00:00"/>
    <d v="2025-02-11T00:00:00"/>
    <s v="M"/>
    <x v="2"/>
    <x v="2"/>
    <x v="0"/>
    <x v="3"/>
    <x v="3"/>
    <x v="6"/>
    <x v="1"/>
  </r>
  <r>
    <s v="TX501031"/>
    <x v="10"/>
    <x v="1"/>
    <n v="30.7"/>
    <n v="61.4"/>
    <d v="2025-02-10T00:00:00"/>
    <d v="2025-02-11T00:00:00"/>
    <s v="F"/>
    <x v="0"/>
    <x v="1"/>
    <x v="0"/>
    <x v="3"/>
    <x v="3"/>
    <x v="6"/>
    <x v="2"/>
  </r>
  <r>
    <s v="TX501032"/>
    <x v="5"/>
    <x v="9"/>
    <n v="90.5"/>
    <n v="452.5"/>
    <d v="2025-02-10T00:00:00"/>
    <d v="2025-02-17T00:00:00"/>
    <s v="M"/>
    <x v="0"/>
    <x v="2"/>
    <x v="0"/>
    <x v="3"/>
    <x v="6"/>
    <x v="6"/>
    <x v="1"/>
  </r>
  <r>
    <s v="TX501033"/>
    <x v="8"/>
    <x v="9"/>
    <n v="25.3"/>
    <n v="126.5"/>
    <d v="2025-02-10T00:00:00"/>
    <d v="2025-02-14T00:00:00"/>
    <s v="F"/>
    <x v="0"/>
    <x v="2"/>
    <x v="0"/>
    <x v="3"/>
    <x v="5"/>
    <x v="6"/>
    <x v="2"/>
  </r>
  <r>
    <s v="TX501034"/>
    <x v="6"/>
    <x v="2"/>
    <n v="58.1"/>
    <n v="174.3"/>
    <d v="2025-02-10T00:00:00"/>
    <d v="2025-02-14T00:00:00"/>
    <s v=""/>
    <x v="0"/>
    <x v="2"/>
    <x v="0"/>
    <x v="3"/>
    <x v="5"/>
    <x v="6"/>
    <x v="0"/>
  </r>
  <r>
    <s v="TX501035"/>
    <x v="2"/>
    <x v="2"/>
    <n v="74.900000000000006"/>
    <n v="224.70000000000002"/>
    <d v="2025-02-10T00:00:00"/>
    <d v="2025-02-11T00:00:00"/>
    <s v="F"/>
    <x v="4"/>
    <x v="0"/>
    <x v="0"/>
    <x v="3"/>
    <x v="3"/>
    <x v="6"/>
    <x v="2"/>
  </r>
  <r>
    <s v="TX501036"/>
    <x v="4"/>
    <x v="1"/>
    <n v="32.5"/>
    <n v="65"/>
    <d v="2025-02-10T00:00:00"/>
    <d v="2025-02-11T00:00:00"/>
    <s v="M"/>
    <x v="2"/>
    <x v="2"/>
    <x v="0"/>
    <x v="43"/>
    <x v="3"/>
    <x v="6"/>
    <x v="1"/>
  </r>
  <r>
    <s v="TX501037"/>
    <x v="4"/>
    <x v="9"/>
    <n v="62"/>
    <n v="310"/>
    <d v="2025-02-10T00:00:00"/>
    <d v="2025-02-11T00:00:00"/>
    <s v="M"/>
    <x v="4"/>
    <x v="2"/>
    <x v="0"/>
    <x v="25"/>
    <x v="3"/>
    <x v="6"/>
    <x v="1"/>
  </r>
  <r>
    <s v="TX501038"/>
    <x v="13"/>
    <x v="13"/>
    <n v="28.9"/>
    <n v="173.39999999999998"/>
    <d v="2025-02-10T00:00:00"/>
    <d v="2025-02-13T00:00:00"/>
    <s v="F"/>
    <x v="0"/>
    <x v="1"/>
    <x v="0"/>
    <x v="6"/>
    <x v="2"/>
    <x v="6"/>
    <x v="2"/>
  </r>
  <r>
    <s v="TX501039"/>
    <x v="6"/>
    <x v="8"/>
    <n v="42.8"/>
    <n v="342.4"/>
    <d v="2025-02-10T00:00:00"/>
    <d v="2025-02-12T00:00:00"/>
    <s v="F"/>
    <x v="0"/>
    <x v="2"/>
    <x v="0"/>
    <x v="6"/>
    <x v="1"/>
    <x v="6"/>
    <x v="2"/>
  </r>
  <r>
    <s v="TX501040"/>
    <x v="8"/>
    <x v="8"/>
    <n v="39.4"/>
    <n v="315.2"/>
    <d v="2025-02-10T00:00:00"/>
    <d v="2025-02-12T00:00:00"/>
    <s v="M"/>
    <x v="0"/>
    <x v="0"/>
    <x v="0"/>
    <x v="36"/>
    <x v="1"/>
    <x v="6"/>
    <x v="1"/>
  </r>
  <r>
    <s v="TX501041"/>
    <x v="18"/>
    <x v="2"/>
    <n v="66.400000000000006"/>
    <n v="199.20000000000002"/>
    <d v="2025-02-10T00:00:00"/>
    <d v="2025-02-11T00:00:00"/>
    <s v=""/>
    <x v="2"/>
    <x v="1"/>
    <x v="0"/>
    <x v="7"/>
    <x v="3"/>
    <x v="6"/>
    <x v="0"/>
  </r>
  <r>
    <s v="TX501042"/>
    <x v="17"/>
    <x v="12"/>
    <n v="35.9"/>
    <n v="143.6"/>
    <d v="2025-02-10T00:00:00"/>
    <d v="2025-02-17T00:00:00"/>
    <s v="F"/>
    <x v="1"/>
    <x v="0"/>
    <x v="0"/>
    <x v="7"/>
    <x v="6"/>
    <x v="6"/>
    <x v="2"/>
  </r>
  <r>
    <s v="TX501043"/>
    <x v="0"/>
    <x v="12"/>
    <n v="26.9"/>
    <n v="107.6"/>
    <d v="2025-02-10T00:00:00"/>
    <d v="2025-02-11T00:00:00"/>
    <s v="M"/>
    <x v="1"/>
    <x v="0"/>
    <x v="0"/>
    <x v="7"/>
    <x v="3"/>
    <x v="6"/>
    <x v="1"/>
  </r>
  <r>
    <s v="TX501044"/>
    <x v="2"/>
    <x v="0"/>
    <n v="55.1"/>
    <n v="55.1"/>
    <d v="2025-02-10T00:00:00"/>
    <d v="2025-02-11T00:00:00"/>
    <s v="F"/>
    <x v="0"/>
    <x v="0"/>
    <x v="0"/>
    <x v="7"/>
    <x v="3"/>
    <x v="6"/>
    <x v="2"/>
  </r>
  <r>
    <s v="TX501045"/>
    <x v="4"/>
    <x v="1"/>
    <n v="23.9"/>
    <n v="47.8"/>
    <d v="2025-02-10T00:00:00"/>
    <d v="2025-02-11T00:00:00"/>
    <s v="M"/>
    <x v="0"/>
    <x v="2"/>
    <x v="0"/>
    <x v="8"/>
    <x v="3"/>
    <x v="6"/>
    <x v="1"/>
  </r>
  <r>
    <s v="TX501046"/>
    <x v="9"/>
    <x v="15"/>
    <n v="21.1"/>
    <n v="274.3"/>
    <d v="2025-02-10T00:00:00"/>
    <d v="2025-02-18T00:00:00"/>
    <s v="F"/>
    <x v="0"/>
    <x v="1"/>
    <x v="0"/>
    <x v="8"/>
    <x v="9"/>
    <x v="6"/>
    <x v="2"/>
  </r>
  <r>
    <s v="TX501047"/>
    <x v="8"/>
    <x v="9"/>
    <n v="33.799999999999997"/>
    <n v="169"/>
    <d v="2025-02-10T00:00:00"/>
    <d v="2025-02-12T00:00:00"/>
    <s v="F"/>
    <x v="0"/>
    <x v="0"/>
    <x v="0"/>
    <x v="8"/>
    <x v="1"/>
    <x v="6"/>
    <x v="2"/>
  </r>
  <r>
    <s v="TX501048"/>
    <x v="2"/>
    <x v="12"/>
    <n v="56.1"/>
    <n v="224.4"/>
    <d v="2025-02-10T00:00:00"/>
    <d v="2025-02-10T00:00:00"/>
    <s v="F"/>
    <x v="3"/>
    <x v="2"/>
    <x v="0"/>
    <x v="9"/>
    <x v="7"/>
    <x v="6"/>
    <x v="2"/>
  </r>
  <r>
    <s v="TX501049"/>
    <x v="3"/>
    <x v="0"/>
    <n v="58.5"/>
    <n v="58.5"/>
    <d v="2025-02-11T00:00:00"/>
    <d v="2025-02-15T00:00:00"/>
    <s v="F"/>
    <x v="1"/>
    <x v="2"/>
    <x v="0"/>
    <x v="9"/>
    <x v="5"/>
    <x v="6"/>
    <x v="2"/>
  </r>
  <r>
    <s v="TX501050"/>
    <x v="6"/>
    <x v="0"/>
    <n v="84.2"/>
    <n v="84.2"/>
    <d v="2025-02-11T00:00:00"/>
    <d v="2025-02-13T00:00:00"/>
    <s v="M"/>
    <x v="3"/>
    <x v="0"/>
    <x v="0"/>
    <x v="11"/>
    <x v="1"/>
    <x v="6"/>
    <x v="1"/>
  </r>
  <r>
    <s v="TX501051"/>
    <x v="11"/>
    <x v="12"/>
    <n v="52"/>
    <n v="208"/>
    <d v="2025-02-11T00:00:00"/>
    <d v="2025-02-14T00:00:00"/>
    <s v="M"/>
    <x v="0"/>
    <x v="0"/>
    <x v="0"/>
    <x v="11"/>
    <x v="2"/>
    <x v="6"/>
    <x v="1"/>
  </r>
  <r>
    <s v="TX501052"/>
    <x v="4"/>
    <x v="9"/>
    <n v="31.5"/>
    <n v="157.5"/>
    <d v="2025-02-11T00:00:00"/>
    <d v="2025-02-12T00:00:00"/>
    <s v="F"/>
    <x v="0"/>
    <x v="2"/>
    <x v="0"/>
    <x v="11"/>
    <x v="3"/>
    <x v="6"/>
    <x v="2"/>
  </r>
  <r>
    <s v="TX501053"/>
    <x v="16"/>
    <x v="2"/>
    <n v="46.2"/>
    <n v="138.60000000000002"/>
    <d v="2025-02-11T00:00:00"/>
    <d v="2025-02-12T00:00:00"/>
    <s v="M"/>
    <x v="0"/>
    <x v="0"/>
    <x v="0"/>
    <x v="53"/>
    <x v="3"/>
    <x v="6"/>
    <x v="1"/>
  </r>
  <r>
    <s v="TX501054"/>
    <x v="2"/>
    <x v="13"/>
    <n v="135"/>
    <n v="810"/>
    <d v="2025-02-11T00:00:00"/>
    <d v="2025-02-12T00:00:00"/>
    <s v="F"/>
    <x v="1"/>
    <x v="2"/>
    <x v="0"/>
    <x v="18"/>
    <x v="3"/>
    <x v="6"/>
    <x v="2"/>
  </r>
  <r>
    <s v="TX501055"/>
    <x v="12"/>
    <x v="2"/>
    <n v="92.2"/>
    <n v="276.60000000000002"/>
    <d v="2025-02-11T00:00:00"/>
    <d v="2025-02-15T00:00:00"/>
    <s v="M"/>
    <x v="0"/>
    <x v="0"/>
    <x v="0"/>
    <x v="21"/>
    <x v="5"/>
    <x v="6"/>
    <x v="1"/>
  </r>
  <r>
    <s v="TX501056"/>
    <x v="8"/>
    <x v="0"/>
    <n v="36.6"/>
    <n v="36.6"/>
    <d v="2025-02-11T00:00:00"/>
    <d v="2025-02-13T00:00:00"/>
    <s v="M"/>
    <x v="2"/>
    <x v="2"/>
    <x v="0"/>
    <x v="21"/>
    <x v="1"/>
    <x v="6"/>
    <x v="1"/>
  </r>
  <r>
    <s v="TX501057"/>
    <x v="9"/>
    <x v="1"/>
    <n v="50.6"/>
    <n v="101.2"/>
    <d v="2025-02-11T00:00:00"/>
    <d v="2025-02-14T00:00:00"/>
    <s v="F"/>
    <x v="0"/>
    <x v="0"/>
    <x v="0"/>
    <x v="2"/>
    <x v="2"/>
    <x v="6"/>
    <x v="2"/>
  </r>
  <r>
    <s v="TX501058"/>
    <x v="18"/>
    <x v="3"/>
    <n v="56.7"/>
    <n v="396.90000000000003"/>
    <d v="2025-02-11T00:00:00"/>
    <d v="2025-02-14T00:00:00"/>
    <s v="F"/>
    <x v="0"/>
    <x v="0"/>
    <x v="0"/>
    <x v="2"/>
    <x v="2"/>
    <x v="6"/>
    <x v="2"/>
  </r>
  <r>
    <s v="TX501059"/>
    <x v="9"/>
    <x v="15"/>
    <n v="22.9"/>
    <n v="297.7"/>
    <d v="2025-02-11T00:00:00"/>
    <d v="2025-02-12T00:00:00"/>
    <s v="F"/>
    <x v="0"/>
    <x v="1"/>
    <x v="0"/>
    <x v="44"/>
    <x v="3"/>
    <x v="6"/>
    <x v="2"/>
  </r>
  <r>
    <s v="TX501060"/>
    <x v="15"/>
    <x v="10"/>
    <n v="53.6"/>
    <n v="1018.4"/>
    <d v="2025-02-11T00:00:00"/>
    <d v="2025-02-12T00:00:00"/>
    <s v="M"/>
    <x v="0"/>
    <x v="0"/>
    <x v="0"/>
    <x v="22"/>
    <x v="3"/>
    <x v="6"/>
    <x v="1"/>
  </r>
  <r>
    <s v="TX501061"/>
    <x v="18"/>
    <x v="1"/>
    <n v="30.2"/>
    <n v="60.4"/>
    <d v="2025-02-11T00:00:00"/>
    <d v="2025-02-13T00:00:00"/>
    <s v=""/>
    <x v="2"/>
    <x v="2"/>
    <x v="0"/>
    <x v="3"/>
    <x v="1"/>
    <x v="6"/>
    <x v="0"/>
  </r>
  <r>
    <s v="TX501062"/>
    <x v="15"/>
    <x v="13"/>
    <n v="83.4"/>
    <n v="500.40000000000003"/>
    <d v="2025-02-11T00:00:00"/>
    <d v="2025-02-12T00:00:00"/>
    <s v="M"/>
    <x v="1"/>
    <x v="2"/>
    <x v="0"/>
    <x v="3"/>
    <x v="3"/>
    <x v="6"/>
    <x v="1"/>
  </r>
  <r>
    <s v="TX501063"/>
    <x v="13"/>
    <x v="4"/>
    <n v="16.600000000000001"/>
    <n v="199.20000000000002"/>
    <d v="2025-02-11T00:00:00"/>
    <d v="2025-02-13T00:00:00"/>
    <s v="M"/>
    <x v="1"/>
    <x v="0"/>
    <x v="0"/>
    <x v="3"/>
    <x v="1"/>
    <x v="6"/>
    <x v="1"/>
  </r>
  <r>
    <s v="TX501064"/>
    <x v="8"/>
    <x v="14"/>
    <n v="21.9"/>
    <n v="372.29999999999995"/>
    <d v="2025-02-11T00:00:00"/>
    <d v="2025-02-13T00:00:00"/>
    <s v="F"/>
    <x v="4"/>
    <x v="1"/>
    <x v="0"/>
    <x v="3"/>
    <x v="1"/>
    <x v="6"/>
    <x v="2"/>
  </r>
  <r>
    <s v="TX501065"/>
    <x v="8"/>
    <x v="31"/>
    <n v="33.799999999999997"/>
    <n v="946.39999999999986"/>
    <d v="2025-02-11T00:00:00"/>
    <d v="2025-02-13T00:00:00"/>
    <s v="M"/>
    <x v="2"/>
    <x v="4"/>
    <x v="0"/>
    <x v="3"/>
    <x v="1"/>
    <x v="6"/>
    <x v="1"/>
  </r>
  <r>
    <s v="TX501066"/>
    <x v="18"/>
    <x v="1"/>
    <n v="53.2"/>
    <n v="106.4"/>
    <d v="2025-02-11T00:00:00"/>
    <d v="2025-02-11T00:00:00"/>
    <s v="M"/>
    <x v="1"/>
    <x v="0"/>
    <x v="0"/>
    <x v="3"/>
    <x v="7"/>
    <x v="6"/>
    <x v="1"/>
  </r>
  <r>
    <s v="TX501067"/>
    <x v="2"/>
    <x v="1"/>
    <n v="176.7"/>
    <n v="353.4"/>
    <d v="2025-02-11T00:00:00"/>
    <d v="2025-02-14T00:00:00"/>
    <s v="F"/>
    <x v="2"/>
    <x v="0"/>
    <x v="0"/>
    <x v="3"/>
    <x v="2"/>
    <x v="6"/>
    <x v="2"/>
  </r>
  <r>
    <s v="TX501068"/>
    <x v="12"/>
    <x v="2"/>
    <n v="54"/>
    <n v="162"/>
    <d v="2025-02-11T00:00:00"/>
    <d v="2025-02-14T00:00:00"/>
    <s v="M"/>
    <x v="0"/>
    <x v="1"/>
    <x v="0"/>
    <x v="3"/>
    <x v="2"/>
    <x v="6"/>
    <x v="1"/>
  </r>
  <r>
    <s v="TX501069"/>
    <x v="9"/>
    <x v="1"/>
    <n v="70.099999999999994"/>
    <n v="140.19999999999999"/>
    <d v="2025-02-11T00:00:00"/>
    <d v="2025-02-19T00:00:00"/>
    <s v="F"/>
    <x v="3"/>
    <x v="2"/>
    <x v="0"/>
    <x v="3"/>
    <x v="9"/>
    <x v="6"/>
    <x v="2"/>
  </r>
  <r>
    <s v="TX501070"/>
    <x v="8"/>
    <x v="0"/>
    <n v="26.5"/>
    <n v="26.5"/>
    <d v="2025-02-11T00:00:00"/>
    <d v="2025-02-13T00:00:00"/>
    <s v="F"/>
    <x v="1"/>
    <x v="0"/>
    <x v="0"/>
    <x v="3"/>
    <x v="1"/>
    <x v="6"/>
    <x v="2"/>
  </r>
  <r>
    <s v="TX501071"/>
    <x v="7"/>
    <x v="9"/>
    <n v="89"/>
    <n v="445"/>
    <d v="2025-02-11T00:00:00"/>
    <d v="2025-02-13T00:00:00"/>
    <s v="M"/>
    <x v="2"/>
    <x v="4"/>
    <x v="0"/>
    <x v="3"/>
    <x v="1"/>
    <x v="6"/>
    <x v="1"/>
  </r>
  <r>
    <s v="TX501072"/>
    <x v="1"/>
    <x v="13"/>
    <n v="47"/>
    <n v="282"/>
    <d v="2025-02-11T00:00:00"/>
    <d v="2025-02-14T00:00:00"/>
    <s v="F"/>
    <x v="3"/>
    <x v="0"/>
    <x v="0"/>
    <x v="24"/>
    <x v="2"/>
    <x v="6"/>
    <x v="2"/>
  </r>
  <r>
    <s v="TX501073"/>
    <x v="3"/>
    <x v="1"/>
    <n v="55.2"/>
    <n v="110.4"/>
    <d v="2025-02-11T00:00:00"/>
    <d v="2025-02-14T00:00:00"/>
    <s v="M"/>
    <x v="1"/>
    <x v="1"/>
    <x v="0"/>
    <x v="6"/>
    <x v="2"/>
    <x v="6"/>
    <x v="1"/>
  </r>
  <r>
    <s v="TX501074"/>
    <x v="8"/>
    <x v="39"/>
    <n v="33.299999999999997"/>
    <n v="1398.6"/>
    <d v="2025-02-11T00:00:00"/>
    <d v="2025-02-25T00:00:00"/>
    <s v="M"/>
    <x v="1"/>
    <x v="2"/>
    <x v="0"/>
    <x v="6"/>
    <x v="12"/>
    <x v="6"/>
    <x v="1"/>
  </r>
  <r>
    <s v="TX501075"/>
    <x v="2"/>
    <x v="12"/>
    <n v="110.9"/>
    <n v="443.6"/>
    <d v="2025-02-12T00:00:00"/>
    <d v="2025-02-12T00:00:00"/>
    <s v="M"/>
    <x v="2"/>
    <x v="4"/>
    <x v="0"/>
    <x v="6"/>
    <x v="7"/>
    <x v="6"/>
    <x v="1"/>
  </r>
  <r>
    <s v="TX501076"/>
    <x v="2"/>
    <x v="13"/>
    <n v="67.3"/>
    <n v="403.79999999999995"/>
    <d v="2025-02-12T00:00:00"/>
    <d v="2025-02-13T00:00:00"/>
    <s v="M"/>
    <x v="0"/>
    <x v="0"/>
    <x v="0"/>
    <x v="8"/>
    <x v="3"/>
    <x v="6"/>
    <x v="1"/>
  </r>
  <r>
    <s v="TX501077"/>
    <x v="6"/>
    <x v="2"/>
    <n v="69.7"/>
    <n v="209.10000000000002"/>
    <d v="2025-02-12T00:00:00"/>
    <d v="2025-02-13T00:00:00"/>
    <s v="M"/>
    <x v="2"/>
    <x v="1"/>
    <x v="0"/>
    <x v="8"/>
    <x v="3"/>
    <x v="6"/>
    <x v="1"/>
  </r>
  <r>
    <s v="TX501078"/>
    <x v="5"/>
    <x v="0"/>
    <n v="39.1"/>
    <n v="39.1"/>
    <d v="2025-02-12T00:00:00"/>
    <d v="2025-02-17T00:00:00"/>
    <s v="M"/>
    <x v="0"/>
    <x v="1"/>
    <x v="0"/>
    <x v="17"/>
    <x v="0"/>
    <x v="6"/>
    <x v="1"/>
  </r>
  <r>
    <s v="TX501079"/>
    <x v="2"/>
    <x v="2"/>
    <n v="208.6"/>
    <n v="625.79999999999995"/>
    <d v="2025-02-12T00:00:00"/>
    <d v="2025-02-12T00:00:00"/>
    <s v="M"/>
    <x v="4"/>
    <x v="2"/>
    <x v="0"/>
    <x v="17"/>
    <x v="7"/>
    <x v="6"/>
    <x v="1"/>
  </r>
  <r>
    <s v="TX501080"/>
    <x v="15"/>
    <x v="2"/>
    <n v="27.8"/>
    <n v="83.4"/>
    <d v="2025-02-12T00:00:00"/>
    <d v="2025-02-13T00:00:00"/>
    <s v="M"/>
    <x v="3"/>
    <x v="1"/>
    <x v="0"/>
    <x v="11"/>
    <x v="3"/>
    <x v="6"/>
    <x v="1"/>
  </r>
  <r>
    <s v="TX501081"/>
    <x v="10"/>
    <x v="9"/>
    <n v="29.4"/>
    <n v="147"/>
    <d v="2025-02-12T00:00:00"/>
    <d v="2025-02-14T00:00:00"/>
    <s v="F"/>
    <x v="0"/>
    <x v="0"/>
    <x v="0"/>
    <x v="11"/>
    <x v="1"/>
    <x v="6"/>
    <x v="2"/>
  </r>
  <r>
    <s v="TX501082"/>
    <x v="9"/>
    <x v="1"/>
    <n v="29.2"/>
    <n v="58.4"/>
    <d v="2025-02-12T00:00:00"/>
    <d v="2025-02-14T00:00:00"/>
    <s v="F"/>
    <x v="1"/>
    <x v="2"/>
    <x v="0"/>
    <x v="20"/>
    <x v="1"/>
    <x v="6"/>
    <x v="2"/>
  </r>
  <r>
    <s v="TX501083"/>
    <x v="10"/>
    <x v="9"/>
    <n v="26.5"/>
    <n v="132.5"/>
    <d v="2025-02-12T00:00:00"/>
    <d v="2025-02-14T00:00:00"/>
    <s v="F"/>
    <x v="0"/>
    <x v="0"/>
    <x v="0"/>
    <x v="52"/>
    <x v="1"/>
    <x v="6"/>
    <x v="2"/>
  </r>
  <r>
    <s v="TX501084"/>
    <x v="5"/>
    <x v="0"/>
    <n v="30.3"/>
    <n v="30.3"/>
    <d v="2025-02-12T00:00:00"/>
    <d v="2025-02-13T00:00:00"/>
    <s v="F"/>
    <x v="4"/>
    <x v="1"/>
    <x v="0"/>
    <x v="13"/>
    <x v="3"/>
    <x v="6"/>
    <x v="2"/>
  </r>
  <r>
    <s v="TX501085"/>
    <x v="16"/>
    <x v="4"/>
    <n v="39.700000000000003"/>
    <n v="476.40000000000003"/>
    <d v="2025-02-12T00:00:00"/>
    <d v="2025-02-13T00:00:00"/>
    <s v="F"/>
    <x v="0"/>
    <x v="0"/>
    <x v="0"/>
    <x v="21"/>
    <x v="3"/>
    <x v="6"/>
    <x v="2"/>
  </r>
  <r>
    <s v="TX501086"/>
    <x v="7"/>
    <x v="7"/>
    <n v="58.9"/>
    <n v="589"/>
    <d v="2025-02-12T00:00:00"/>
    <d v="2025-02-14T00:00:00"/>
    <s v="F"/>
    <x v="1"/>
    <x v="4"/>
    <x v="0"/>
    <x v="21"/>
    <x v="1"/>
    <x v="6"/>
    <x v="2"/>
  </r>
  <r>
    <s v="TX501087"/>
    <x v="2"/>
    <x v="1"/>
    <n v="174.1"/>
    <n v="348.2"/>
    <d v="2025-02-12T00:00:00"/>
    <d v="2025-02-14T00:00:00"/>
    <s v="F"/>
    <x v="0"/>
    <x v="1"/>
    <x v="0"/>
    <x v="46"/>
    <x v="1"/>
    <x v="6"/>
    <x v="2"/>
  </r>
  <r>
    <s v="TX501088"/>
    <x v="6"/>
    <x v="1"/>
    <n v="70.8"/>
    <n v="141.6"/>
    <d v="2025-02-12T00:00:00"/>
    <d v="2025-02-15T00:00:00"/>
    <s v="M"/>
    <x v="2"/>
    <x v="0"/>
    <x v="0"/>
    <x v="22"/>
    <x v="2"/>
    <x v="6"/>
    <x v="1"/>
  </r>
  <r>
    <s v="TX501089"/>
    <x v="7"/>
    <x v="1"/>
    <n v="57.4"/>
    <n v="114.8"/>
    <d v="2025-02-12T00:00:00"/>
    <d v="2025-02-14T00:00:00"/>
    <s v="F"/>
    <x v="1"/>
    <x v="1"/>
    <x v="0"/>
    <x v="34"/>
    <x v="1"/>
    <x v="6"/>
    <x v="2"/>
  </r>
  <r>
    <s v="TX501090"/>
    <x v="0"/>
    <x v="1"/>
    <n v="28.5"/>
    <n v="57"/>
    <d v="2025-02-12T00:00:00"/>
    <d v="2025-02-14T00:00:00"/>
    <s v="M"/>
    <x v="3"/>
    <x v="1"/>
    <x v="0"/>
    <x v="3"/>
    <x v="1"/>
    <x v="6"/>
    <x v="1"/>
  </r>
  <r>
    <s v="TX501091"/>
    <x v="2"/>
    <x v="28"/>
    <n v="106.6"/>
    <n v="2132"/>
    <d v="2025-02-12T00:00:00"/>
    <d v="2025-02-13T00:00:00"/>
    <s v=""/>
    <x v="1"/>
    <x v="4"/>
    <x v="0"/>
    <x v="3"/>
    <x v="3"/>
    <x v="6"/>
    <x v="0"/>
  </r>
  <r>
    <s v="TX501092"/>
    <x v="2"/>
    <x v="2"/>
    <n v="119.7"/>
    <n v="359.1"/>
    <d v="2025-02-12T00:00:00"/>
    <d v="2025-02-13T00:00:00"/>
    <s v="F"/>
    <x v="1"/>
    <x v="4"/>
    <x v="0"/>
    <x v="3"/>
    <x v="3"/>
    <x v="6"/>
    <x v="2"/>
  </r>
  <r>
    <s v="TX501093"/>
    <x v="18"/>
    <x v="0"/>
    <n v="73.3"/>
    <n v="73.3"/>
    <d v="2025-02-12T00:00:00"/>
    <d v="2025-02-17T00:00:00"/>
    <s v="F"/>
    <x v="0"/>
    <x v="2"/>
    <x v="0"/>
    <x v="3"/>
    <x v="0"/>
    <x v="6"/>
    <x v="2"/>
  </r>
  <r>
    <s v="TX501094"/>
    <x v="0"/>
    <x v="1"/>
    <n v="25.8"/>
    <n v="51.6"/>
    <d v="2025-02-12T00:00:00"/>
    <d v="2025-02-26T00:00:00"/>
    <s v="M"/>
    <x v="2"/>
    <x v="0"/>
    <x v="0"/>
    <x v="3"/>
    <x v="12"/>
    <x v="6"/>
    <x v="1"/>
  </r>
  <r>
    <s v="TX501095"/>
    <x v="17"/>
    <x v="2"/>
    <n v="49.1"/>
    <n v="147.30000000000001"/>
    <d v="2025-02-12T00:00:00"/>
    <d v="2025-02-14T00:00:00"/>
    <s v="F"/>
    <x v="0"/>
    <x v="0"/>
    <x v="0"/>
    <x v="24"/>
    <x v="1"/>
    <x v="6"/>
    <x v="2"/>
  </r>
  <r>
    <s v="TX501096"/>
    <x v="1"/>
    <x v="0"/>
    <n v="44.9"/>
    <n v="44.9"/>
    <d v="2025-02-12T00:00:00"/>
    <d v="2025-02-15T00:00:00"/>
    <s v="F"/>
    <x v="3"/>
    <x v="2"/>
    <x v="0"/>
    <x v="6"/>
    <x v="2"/>
    <x v="6"/>
    <x v="2"/>
  </r>
  <r>
    <s v="TX501097"/>
    <x v="15"/>
    <x v="3"/>
    <n v="29.9"/>
    <n v="209.29999999999998"/>
    <d v="2025-02-12T00:00:00"/>
    <d v="2025-02-13T00:00:00"/>
    <s v="F"/>
    <x v="0"/>
    <x v="0"/>
    <x v="0"/>
    <x v="6"/>
    <x v="3"/>
    <x v="6"/>
    <x v="2"/>
  </r>
  <r>
    <s v="TX501098"/>
    <x v="7"/>
    <x v="1"/>
    <n v="54.3"/>
    <n v="108.6"/>
    <d v="2025-02-13T00:00:00"/>
    <d v="2025-02-14T00:00:00"/>
    <s v="M"/>
    <x v="3"/>
    <x v="0"/>
    <x v="0"/>
    <x v="36"/>
    <x v="3"/>
    <x v="6"/>
    <x v="1"/>
  </r>
  <r>
    <s v="TX501099"/>
    <x v="9"/>
    <x v="12"/>
    <n v="57"/>
    <n v="228"/>
    <d v="2025-02-13T00:00:00"/>
    <d v="2025-02-15T00:00:00"/>
    <s v="F"/>
    <x v="0"/>
    <x v="0"/>
    <x v="0"/>
    <x v="8"/>
    <x v="1"/>
    <x v="6"/>
    <x v="2"/>
  </r>
  <r>
    <s v="TX501100"/>
    <x v="2"/>
    <x v="0"/>
    <n v="139.19999999999999"/>
    <n v="139.19999999999999"/>
    <d v="2025-02-13T00:00:00"/>
    <d v="2025-02-14T00:00:00"/>
    <s v="F"/>
    <x v="3"/>
    <x v="2"/>
    <x v="0"/>
    <x v="8"/>
    <x v="3"/>
    <x v="6"/>
    <x v="2"/>
  </r>
  <r>
    <s v="TX501101"/>
    <x v="10"/>
    <x v="0"/>
    <n v="33"/>
    <n v="33"/>
    <d v="2025-02-13T00:00:00"/>
    <d v="2025-02-16T00:00:00"/>
    <s v="F"/>
    <x v="0"/>
    <x v="2"/>
    <x v="0"/>
    <x v="8"/>
    <x v="2"/>
    <x v="6"/>
    <x v="2"/>
  </r>
  <r>
    <s v="TX501102"/>
    <x v="11"/>
    <x v="13"/>
    <n v="80.2"/>
    <n v="481.20000000000005"/>
    <d v="2025-02-13T00:00:00"/>
    <d v="2025-02-15T00:00:00"/>
    <s v="M"/>
    <x v="1"/>
    <x v="4"/>
    <x v="0"/>
    <x v="8"/>
    <x v="1"/>
    <x v="6"/>
    <x v="1"/>
  </r>
  <r>
    <s v="TX501103"/>
    <x v="18"/>
    <x v="8"/>
    <n v="49"/>
    <n v="392"/>
    <d v="2025-02-13T00:00:00"/>
    <d v="2025-02-14T00:00:00"/>
    <s v=""/>
    <x v="2"/>
    <x v="1"/>
    <x v="0"/>
    <x v="9"/>
    <x v="3"/>
    <x v="6"/>
    <x v="0"/>
  </r>
  <r>
    <s v="TX501104"/>
    <x v="1"/>
    <x v="12"/>
    <n v="104.4"/>
    <n v="417.6"/>
    <d v="2025-02-13T00:00:00"/>
    <d v="2025-02-13T00:00:00"/>
    <s v="F"/>
    <x v="0"/>
    <x v="0"/>
    <x v="0"/>
    <x v="9"/>
    <x v="7"/>
    <x v="6"/>
    <x v="2"/>
  </r>
  <r>
    <s v="TX501105"/>
    <x v="3"/>
    <x v="0"/>
    <n v="41.6"/>
    <n v="41.6"/>
    <d v="2025-02-13T00:00:00"/>
    <d v="2025-02-16T00:00:00"/>
    <s v="M"/>
    <x v="3"/>
    <x v="0"/>
    <x v="0"/>
    <x v="11"/>
    <x v="2"/>
    <x v="6"/>
    <x v="1"/>
  </r>
  <r>
    <s v="TX501106"/>
    <x v="19"/>
    <x v="1"/>
    <n v="16.399999999999999"/>
    <n v="32.799999999999997"/>
    <d v="2025-02-13T00:00:00"/>
    <d v="2025-02-14T00:00:00"/>
    <s v="O"/>
    <x v="0"/>
    <x v="2"/>
    <x v="0"/>
    <x v="11"/>
    <x v="3"/>
    <x v="6"/>
    <x v="3"/>
  </r>
  <r>
    <s v="TX501107"/>
    <x v="8"/>
    <x v="1"/>
    <n v="22"/>
    <n v="44"/>
    <d v="2025-02-13T00:00:00"/>
    <d v="2025-02-14T00:00:00"/>
    <s v="M"/>
    <x v="2"/>
    <x v="2"/>
    <x v="0"/>
    <x v="53"/>
    <x v="3"/>
    <x v="6"/>
    <x v="1"/>
  </r>
  <r>
    <s v="TX501108"/>
    <x v="15"/>
    <x v="1"/>
    <n v="33.6"/>
    <n v="67.2"/>
    <d v="2025-02-13T00:00:00"/>
    <d v="2025-02-18T00:00:00"/>
    <s v="F"/>
    <x v="0"/>
    <x v="0"/>
    <x v="0"/>
    <x v="21"/>
    <x v="0"/>
    <x v="6"/>
    <x v="2"/>
  </r>
  <r>
    <s v="TX501109"/>
    <x v="11"/>
    <x v="13"/>
    <n v="43"/>
    <n v="258"/>
    <d v="2025-02-13T00:00:00"/>
    <d v="2025-02-14T00:00:00"/>
    <s v="F"/>
    <x v="2"/>
    <x v="0"/>
    <x v="0"/>
    <x v="21"/>
    <x v="3"/>
    <x v="6"/>
    <x v="2"/>
  </r>
  <r>
    <s v="TX501110"/>
    <x v="6"/>
    <x v="9"/>
    <n v="108.8"/>
    <n v="544"/>
    <d v="2025-02-13T00:00:00"/>
    <d v="2025-02-16T00:00:00"/>
    <s v="F"/>
    <x v="4"/>
    <x v="2"/>
    <x v="0"/>
    <x v="21"/>
    <x v="2"/>
    <x v="6"/>
    <x v="2"/>
  </r>
  <r>
    <s v="TX501111"/>
    <x v="0"/>
    <x v="11"/>
    <n v="29.3"/>
    <n v="263.7"/>
    <d v="2025-02-13T00:00:00"/>
    <d v="2025-02-15T00:00:00"/>
    <s v="M"/>
    <x v="4"/>
    <x v="2"/>
    <x v="0"/>
    <x v="21"/>
    <x v="1"/>
    <x v="6"/>
    <x v="1"/>
  </r>
  <r>
    <s v="TX501112"/>
    <x v="2"/>
    <x v="0"/>
    <n v="122.7"/>
    <n v="122.7"/>
    <d v="2025-02-13T00:00:00"/>
    <d v="2025-02-16T00:00:00"/>
    <s v="O"/>
    <x v="0"/>
    <x v="2"/>
    <x v="0"/>
    <x v="1"/>
    <x v="2"/>
    <x v="6"/>
    <x v="3"/>
  </r>
  <r>
    <s v="TX501113"/>
    <x v="4"/>
    <x v="3"/>
    <n v="22.9"/>
    <n v="160.29999999999998"/>
    <d v="2025-02-13T00:00:00"/>
    <d v="2025-02-14T00:00:00"/>
    <s v="F"/>
    <x v="0"/>
    <x v="0"/>
    <x v="0"/>
    <x v="42"/>
    <x v="3"/>
    <x v="6"/>
    <x v="2"/>
  </r>
  <r>
    <s v="TX501114"/>
    <x v="8"/>
    <x v="7"/>
    <n v="25.5"/>
    <n v="255"/>
    <d v="2025-02-13T00:00:00"/>
    <d v="2025-02-20T00:00:00"/>
    <s v="F"/>
    <x v="0"/>
    <x v="0"/>
    <x v="0"/>
    <x v="33"/>
    <x v="6"/>
    <x v="6"/>
    <x v="2"/>
  </r>
  <r>
    <s v="TX501115"/>
    <x v="17"/>
    <x v="2"/>
    <n v="23.4"/>
    <n v="70.199999999999989"/>
    <d v="2025-02-13T00:00:00"/>
    <d v="2025-02-17T00:00:00"/>
    <s v="F"/>
    <x v="0"/>
    <x v="2"/>
    <x v="0"/>
    <x v="3"/>
    <x v="5"/>
    <x v="6"/>
    <x v="2"/>
  </r>
  <r>
    <s v="TX501116"/>
    <x v="5"/>
    <x v="8"/>
    <n v="27.4"/>
    <n v="219.2"/>
    <d v="2025-02-13T00:00:00"/>
    <d v="2025-02-16T00:00:00"/>
    <s v="F"/>
    <x v="2"/>
    <x v="0"/>
    <x v="0"/>
    <x v="3"/>
    <x v="2"/>
    <x v="6"/>
    <x v="2"/>
  </r>
  <r>
    <s v="TX501117"/>
    <x v="5"/>
    <x v="9"/>
    <n v="68.400000000000006"/>
    <n v="342"/>
    <d v="2025-02-13T00:00:00"/>
    <d v="2025-02-14T00:00:00"/>
    <s v="F"/>
    <x v="0"/>
    <x v="0"/>
    <x v="0"/>
    <x v="3"/>
    <x v="3"/>
    <x v="6"/>
    <x v="2"/>
  </r>
  <r>
    <s v="TX501118"/>
    <x v="6"/>
    <x v="0"/>
    <n v="51.9"/>
    <n v="51.9"/>
    <d v="2025-02-13T00:00:00"/>
    <d v="2025-02-13T00:00:00"/>
    <s v="F"/>
    <x v="0"/>
    <x v="0"/>
    <x v="0"/>
    <x v="3"/>
    <x v="7"/>
    <x v="6"/>
    <x v="2"/>
  </r>
  <r>
    <s v="TX501119"/>
    <x v="0"/>
    <x v="9"/>
    <n v="26.4"/>
    <n v="132"/>
    <d v="2025-02-13T00:00:00"/>
    <d v="2025-02-16T00:00:00"/>
    <s v="F"/>
    <x v="0"/>
    <x v="2"/>
    <x v="0"/>
    <x v="3"/>
    <x v="2"/>
    <x v="6"/>
    <x v="2"/>
  </r>
  <r>
    <s v="TX501120"/>
    <x v="12"/>
    <x v="1"/>
    <n v="117"/>
    <n v="234"/>
    <d v="2025-02-13T00:00:00"/>
    <d v="2025-02-14T00:00:00"/>
    <s v="F"/>
    <x v="1"/>
    <x v="1"/>
    <x v="0"/>
    <x v="3"/>
    <x v="3"/>
    <x v="6"/>
    <x v="2"/>
  </r>
  <r>
    <s v="TX501121"/>
    <x v="7"/>
    <x v="2"/>
    <n v="49.6"/>
    <n v="148.80000000000001"/>
    <d v="2025-02-14T00:00:00"/>
    <d v="2025-02-16T00:00:00"/>
    <s v="F"/>
    <x v="0"/>
    <x v="0"/>
    <x v="0"/>
    <x v="3"/>
    <x v="1"/>
    <x v="6"/>
    <x v="2"/>
  </r>
  <r>
    <s v="TX501122"/>
    <x v="4"/>
    <x v="2"/>
    <n v="38"/>
    <n v="114"/>
    <d v="2025-02-14T00:00:00"/>
    <d v="2025-02-17T00:00:00"/>
    <s v="M"/>
    <x v="2"/>
    <x v="4"/>
    <x v="0"/>
    <x v="3"/>
    <x v="2"/>
    <x v="6"/>
    <x v="1"/>
  </r>
  <r>
    <s v="TX501123"/>
    <x v="0"/>
    <x v="2"/>
    <n v="20.6"/>
    <n v="61.800000000000004"/>
    <d v="2025-02-14T00:00:00"/>
    <d v="2025-02-16T00:00:00"/>
    <s v="F"/>
    <x v="4"/>
    <x v="2"/>
    <x v="0"/>
    <x v="3"/>
    <x v="1"/>
    <x v="6"/>
    <x v="2"/>
  </r>
  <r>
    <s v="TX501124"/>
    <x v="0"/>
    <x v="1"/>
    <n v="16"/>
    <n v="32"/>
    <d v="2025-02-14T00:00:00"/>
    <d v="2025-02-15T00:00:00"/>
    <s v="M"/>
    <x v="1"/>
    <x v="1"/>
    <x v="0"/>
    <x v="49"/>
    <x v="3"/>
    <x v="6"/>
    <x v="1"/>
  </r>
  <r>
    <s v="TX501125"/>
    <x v="15"/>
    <x v="12"/>
    <n v="49.3"/>
    <n v="197.2"/>
    <d v="2025-02-14T00:00:00"/>
    <d v="2025-02-15T00:00:00"/>
    <s v="F"/>
    <x v="2"/>
    <x v="0"/>
    <x v="0"/>
    <x v="23"/>
    <x v="3"/>
    <x v="6"/>
    <x v="2"/>
  </r>
  <r>
    <s v="TX501126"/>
    <x v="9"/>
    <x v="1"/>
    <n v="24.1"/>
    <n v="48.2"/>
    <d v="2025-02-14T00:00:00"/>
    <d v="2025-02-18T00:00:00"/>
    <s v="F"/>
    <x v="0"/>
    <x v="0"/>
    <x v="0"/>
    <x v="6"/>
    <x v="5"/>
    <x v="6"/>
    <x v="2"/>
  </r>
  <r>
    <s v="TX501127"/>
    <x v="15"/>
    <x v="8"/>
    <n v="32.700000000000003"/>
    <n v="261.60000000000002"/>
    <d v="2025-02-14T00:00:00"/>
    <d v="2025-02-15T00:00:00"/>
    <s v="F"/>
    <x v="1"/>
    <x v="0"/>
    <x v="0"/>
    <x v="6"/>
    <x v="3"/>
    <x v="6"/>
    <x v="2"/>
  </r>
  <r>
    <s v="TX501128"/>
    <x v="6"/>
    <x v="2"/>
    <n v="74.400000000000006"/>
    <n v="223.20000000000002"/>
    <d v="2025-02-14T00:00:00"/>
    <d v="2025-02-15T00:00:00"/>
    <s v="F"/>
    <x v="3"/>
    <x v="2"/>
    <x v="0"/>
    <x v="8"/>
    <x v="3"/>
    <x v="6"/>
    <x v="2"/>
  </r>
  <r>
    <s v="TX501129"/>
    <x v="12"/>
    <x v="0"/>
    <n v="45.6"/>
    <n v="45.6"/>
    <d v="2025-02-14T00:00:00"/>
    <d v="2025-02-18T00:00:00"/>
    <s v="F"/>
    <x v="4"/>
    <x v="0"/>
    <x v="0"/>
    <x v="8"/>
    <x v="5"/>
    <x v="6"/>
    <x v="2"/>
  </r>
  <r>
    <s v="TX501130"/>
    <x v="8"/>
    <x v="8"/>
    <n v="19.600000000000001"/>
    <n v="156.80000000000001"/>
    <d v="2025-02-14T00:00:00"/>
    <d v="2025-02-27T00:00:00"/>
    <s v="F"/>
    <x v="0"/>
    <x v="0"/>
    <x v="0"/>
    <x v="8"/>
    <x v="10"/>
    <x v="6"/>
    <x v="2"/>
  </r>
  <r>
    <s v="TX501131"/>
    <x v="9"/>
    <x v="0"/>
    <n v="51.8"/>
    <n v="51.8"/>
    <d v="2025-02-14T00:00:00"/>
    <d v="2025-02-15T00:00:00"/>
    <s v="F"/>
    <x v="1"/>
    <x v="0"/>
    <x v="0"/>
    <x v="8"/>
    <x v="3"/>
    <x v="6"/>
    <x v="2"/>
  </r>
  <r>
    <s v="TX501132"/>
    <x v="6"/>
    <x v="0"/>
    <n v="74.7"/>
    <n v="74.7"/>
    <d v="2025-02-14T00:00:00"/>
    <d v="2025-02-15T00:00:00"/>
    <s v="M"/>
    <x v="0"/>
    <x v="1"/>
    <x v="0"/>
    <x v="8"/>
    <x v="3"/>
    <x v="6"/>
    <x v="1"/>
  </r>
  <r>
    <s v="TX501133"/>
    <x v="19"/>
    <x v="2"/>
    <n v="22.4"/>
    <n v="67.199999999999989"/>
    <d v="2025-02-14T00:00:00"/>
    <d v="2025-02-15T00:00:00"/>
    <s v="F"/>
    <x v="1"/>
    <x v="2"/>
    <x v="0"/>
    <x v="9"/>
    <x v="3"/>
    <x v="6"/>
    <x v="2"/>
  </r>
  <r>
    <s v="TX501134"/>
    <x v="1"/>
    <x v="12"/>
    <n v="31.4"/>
    <n v="125.6"/>
    <d v="2025-02-14T00:00:00"/>
    <d v="2025-02-15T00:00:00"/>
    <s v="F"/>
    <x v="1"/>
    <x v="0"/>
    <x v="0"/>
    <x v="9"/>
    <x v="3"/>
    <x v="6"/>
    <x v="2"/>
  </r>
  <r>
    <s v="TX501135"/>
    <x v="6"/>
    <x v="0"/>
    <n v="94"/>
    <n v="94"/>
    <d v="2025-02-14T00:00:00"/>
    <d v="2025-02-14T00:00:00"/>
    <s v="F"/>
    <x v="1"/>
    <x v="2"/>
    <x v="0"/>
    <x v="10"/>
    <x v="7"/>
    <x v="6"/>
    <x v="2"/>
  </r>
  <r>
    <s v="TX501136"/>
    <x v="10"/>
    <x v="0"/>
    <n v="22.3"/>
    <n v="22.3"/>
    <d v="2025-02-14T00:00:00"/>
    <d v="2025-02-15T00:00:00"/>
    <s v="M"/>
    <x v="4"/>
    <x v="0"/>
    <x v="0"/>
    <x v="20"/>
    <x v="3"/>
    <x v="6"/>
    <x v="1"/>
  </r>
  <r>
    <s v="TX501137"/>
    <x v="0"/>
    <x v="0"/>
    <n v="21.9"/>
    <n v="21.9"/>
    <d v="2025-02-14T00:00:00"/>
    <d v="2025-02-17T00:00:00"/>
    <s v="F"/>
    <x v="2"/>
    <x v="0"/>
    <x v="0"/>
    <x v="21"/>
    <x v="2"/>
    <x v="6"/>
    <x v="2"/>
  </r>
  <r>
    <s v="TX501138"/>
    <x v="17"/>
    <x v="2"/>
    <n v="27"/>
    <n v="81"/>
    <d v="2025-02-14T00:00:00"/>
    <d v="2025-02-16T00:00:00"/>
    <s v="F"/>
    <x v="4"/>
    <x v="2"/>
    <x v="0"/>
    <x v="2"/>
    <x v="1"/>
    <x v="6"/>
    <x v="2"/>
  </r>
  <r>
    <s v="TX501139"/>
    <x v="2"/>
    <x v="12"/>
    <n v="149.6"/>
    <n v="598.4"/>
    <d v="2025-02-14T00:00:00"/>
    <d v="2025-02-14T00:00:00"/>
    <s v="F"/>
    <x v="4"/>
    <x v="0"/>
    <x v="0"/>
    <x v="22"/>
    <x v="7"/>
    <x v="6"/>
    <x v="2"/>
  </r>
  <r>
    <s v="TX501140"/>
    <x v="2"/>
    <x v="12"/>
    <n v="129.1"/>
    <n v="516.4"/>
    <d v="2025-02-14T00:00:00"/>
    <d v="2025-02-24T00:00:00"/>
    <s v="M"/>
    <x v="0"/>
    <x v="1"/>
    <x v="0"/>
    <x v="3"/>
    <x v="14"/>
    <x v="6"/>
    <x v="1"/>
  </r>
  <r>
    <s v="TX501141"/>
    <x v="1"/>
    <x v="4"/>
    <n v="40.4"/>
    <n v="484.79999999999995"/>
    <d v="2025-02-14T00:00:00"/>
    <d v="2025-02-15T00:00:00"/>
    <s v="M"/>
    <x v="1"/>
    <x v="1"/>
    <x v="0"/>
    <x v="3"/>
    <x v="3"/>
    <x v="6"/>
    <x v="1"/>
  </r>
  <r>
    <s v="TX501142"/>
    <x v="4"/>
    <x v="2"/>
    <n v="48.5"/>
    <n v="145.5"/>
    <d v="2025-02-14T00:00:00"/>
    <d v="2025-02-16T00:00:00"/>
    <s v="F"/>
    <x v="0"/>
    <x v="4"/>
    <x v="0"/>
    <x v="3"/>
    <x v="1"/>
    <x v="6"/>
    <x v="2"/>
  </r>
  <r>
    <s v="TX501143"/>
    <x v="9"/>
    <x v="1"/>
    <n v="37.6"/>
    <n v="75.2"/>
    <d v="2025-02-14T00:00:00"/>
    <d v="2025-02-16T00:00:00"/>
    <s v="F"/>
    <x v="1"/>
    <x v="2"/>
    <x v="0"/>
    <x v="3"/>
    <x v="1"/>
    <x v="6"/>
    <x v="2"/>
  </r>
  <r>
    <s v="TX501144"/>
    <x v="8"/>
    <x v="1"/>
    <n v="19.600000000000001"/>
    <n v="39.200000000000003"/>
    <d v="2025-02-14T00:00:00"/>
    <d v="2025-02-15T00:00:00"/>
    <s v="M"/>
    <x v="3"/>
    <x v="4"/>
    <x v="0"/>
    <x v="43"/>
    <x v="3"/>
    <x v="6"/>
    <x v="1"/>
  </r>
  <r>
    <s v="TX501145"/>
    <x v="8"/>
    <x v="9"/>
    <n v="18.5"/>
    <n v="92.5"/>
    <d v="2025-02-14T00:00:00"/>
    <d v="2025-02-15T00:00:00"/>
    <s v="F"/>
    <x v="2"/>
    <x v="1"/>
    <x v="0"/>
    <x v="6"/>
    <x v="3"/>
    <x v="6"/>
    <x v="2"/>
  </r>
  <r>
    <s v="TX501146"/>
    <x v="5"/>
    <x v="2"/>
    <n v="25.5"/>
    <n v="76.5"/>
    <d v="2025-02-14T00:00:00"/>
    <d v="2025-02-16T00:00:00"/>
    <s v="F"/>
    <x v="4"/>
    <x v="1"/>
    <x v="0"/>
    <x v="6"/>
    <x v="1"/>
    <x v="6"/>
    <x v="2"/>
  </r>
  <r>
    <s v="TX501147"/>
    <x v="2"/>
    <x v="1"/>
    <n v="94.7"/>
    <n v="189.4"/>
    <d v="2025-02-14T00:00:00"/>
    <d v="2025-02-15T00:00:00"/>
    <s v="F"/>
    <x v="2"/>
    <x v="0"/>
    <x v="0"/>
    <x v="36"/>
    <x v="3"/>
    <x v="6"/>
    <x v="2"/>
  </r>
  <r>
    <s v="TX501148"/>
    <x v="1"/>
    <x v="13"/>
    <n v="38.799999999999997"/>
    <n v="232.79999999999998"/>
    <d v="2025-02-14T00:00:00"/>
    <d v="2025-02-19T00:00:00"/>
    <s v="F"/>
    <x v="2"/>
    <x v="2"/>
    <x v="0"/>
    <x v="8"/>
    <x v="0"/>
    <x v="6"/>
    <x v="2"/>
  </r>
  <r>
    <s v="TX501149"/>
    <x v="9"/>
    <x v="1"/>
    <n v="49.4"/>
    <n v="98.8"/>
    <d v="2025-02-15T00:00:00"/>
    <d v="2025-02-23T00:00:00"/>
    <s v="M"/>
    <x v="4"/>
    <x v="1"/>
    <x v="0"/>
    <x v="8"/>
    <x v="9"/>
    <x v="6"/>
    <x v="1"/>
  </r>
  <r>
    <s v="TX501150"/>
    <x v="7"/>
    <x v="2"/>
    <n v="68"/>
    <n v="204"/>
    <d v="2025-02-15T00:00:00"/>
    <d v="2025-02-18T00:00:00"/>
    <s v="M"/>
    <x v="0"/>
    <x v="2"/>
    <x v="0"/>
    <x v="8"/>
    <x v="2"/>
    <x v="6"/>
    <x v="1"/>
  </r>
  <r>
    <s v="TX501151"/>
    <x v="15"/>
    <x v="3"/>
    <n v="63.7"/>
    <n v="445.90000000000003"/>
    <d v="2025-02-15T00:00:00"/>
    <d v="2025-02-16T00:00:00"/>
    <s v="F"/>
    <x v="2"/>
    <x v="2"/>
    <x v="0"/>
    <x v="8"/>
    <x v="3"/>
    <x v="6"/>
    <x v="2"/>
  </r>
  <r>
    <s v="TX501152"/>
    <x v="10"/>
    <x v="1"/>
    <n v="66.2"/>
    <n v="132.4"/>
    <d v="2025-02-15T00:00:00"/>
    <d v="2025-02-16T00:00:00"/>
    <s v="F"/>
    <x v="4"/>
    <x v="2"/>
    <x v="0"/>
    <x v="17"/>
    <x v="3"/>
    <x v="6"/>
    <x v="2"/>
  </r>
  <r>
    <s v="TX501153"/>
    <x v="12"/>
    <x v="2"/>
    <n v="32.299999999999997"/>
    <n v="96.899999999999991"/>
    <d v="2025-02-15T00:00:00"/>
    <d v="2025-02-16T00:00:00"/>
    <s v="O"/>
    <x v="2"/>
    <x v="1"/>
    <x v="0"/>
    <x v="9"/>
    <x v="3"/>
    <x v="6"/>
    <x v="3"/>
  </r>
  <r>
    <s v="TX501154"/>
    <x v="4"/>
    <x v="1"/>
    <n v="66.900000000000006"/>
    <n v="133.80000000000001"/>
    <d v="2025-02-15T00:00:00"/>
    <d v="2025-02-18T00:00:00"/>
    <s v="M"/>
    <x v="1"/>
    <x v="0"/>
    <x v="0"/>
    <x v="11"/>
    <x v="2"/>
    <x v="6"/>
    <x v="1"/>
  </r>
  <r>
    <s v="TX501155"/>
    <x v="4"/>
    <x v="4"/>
    <n v="25.2"/>
    <n v="302.39999999999998"/>
    <d v="2025-02-15T00:00:00"/>
    <d v="2025-02-19T00:00:00"/>
    <s v="F"/>
    <x v="0"/>
    <x v="1"/>
    <x v="0"/>
    <x v="11"/>
    <x v="5"/>
    <x v="6"/>
    <x v="2"/>
  </r>
  <r>
    <s v="TX501156"/>
    <x v="10"/>
    <x v="13"/>
    <n v="29.5"/>
    <n v="177"/>
    <d v="2025-02-15T00:00:00"/>
    <d v="2025-02-16T00:00:00"/>
    <s v="M"/>
    <x v="2"/>
    <x v="0"/>
    <x v="0"/>
    <x v="11"/>
    <x v="3"/>
    <x v="6"/>
    <x v="1"/>
  </r>
  <r>
    <s v="TX501157"/>
    <x v="8"/>
    <x v="9"/>
    <n v="21.6"/>
    <n v="108"/>
    <d v="2025-02-15T00:00:00"/>
    <d v="2025-02-17T00:00:00"/>
    <s v="F"/>
    <x v="0"/>
    <x v="2"/>
    <x v="0"/>
    <x v="32"/>
    <x v="1"/>
    <x v="6"/>
    <x v="2"/>
  </r>
  <r>
    <s v="TX501158"/>
    <x v="12"/>
    <x v="2"/>
    <n v="69"/>
    <n v="207"/>
    <d v="2025-02-15T00:00:00"/>
    <d v="2025-02-16T00:00:00"/>
    <s v="F"/>
    <x v="0"/>
    <x v="0"/>
    <x v="0"/>
    <x v="18"/>
    <x v="3"/>
    <x v="6"/>
    <x v="2"/>
  </r>
  <r>
    <s v="TX501159"/>
    <x v="7"/>
    <x v="1"/>
    <n v="115"/>
    <n v="230"/>
    <d v="2025-02-15T00:00:00"/>
    <d v="2025-02-19T00:00:00"/>
    <s v="M"/>
    <x v="0"/>
    <x v="2"/>
    <x v="0"/>
    <x v="18"/>
    <x v="5"/>
    <x v="6"/>
    <x v="1"/>
  </r>
  <r>
    <s v="TX501160"/>
    <x v="2"/>
    <x v="1"/>
    <n v="109.3"/>
    <n v="218.6"/>
    <d v="2025-02-15T00:00:00"/>
    <d v="2025-02-17T00:00:00"/>
    <s v=""/>
    <x v="3"/>
    <x v="1"/>
    <x v="0"/>
    <x v="19"/>
    <x v="1"/>
    <x v="6"/>
    <x v="0"/>
  </r>
  <r>
    <s v="TX501161"/>
    <x v="9"/>
    <x v="1"/>
    <n v="66.599999999999994"/>
    <n v="133.19999999999999"/>
    <d v="2025-02-15T00:00:00"/>
    <d v="2025-02-18T00:00:00"/>
    <s v=""/>
    <x v="4"/>
    <x v="1"/>
    <x v="0"/>
    <x v="19"/>
    <x v="2"/>
    <x v="6"/>
    <x v="0"/>
  </r>
  <r>
    <s v="TX501162"/>
    <x v="12"/>
    <x v="9"/>
    <n v="47.7"/>
    <n v="238.5"/>
    <d v="2025-02-15T00:00:00"/>
    <d v="2025-02-16T00:00:00"/>
    <s v="M"/>
    <x v="3"/>
    <x v="2"/>
    <x v="0"/>
    <x v="21"/>
    <x v="3"/>
    <x v="6"/>
    <x v="1"/>
  </r>
  <r>
    <s v="TX501163"/>
    <x v="8"/>
    <x v="1"/>
    <n v="46"/>
    <n v="92"/>
    <d v="2025-02-15T00:00:00"/>
    <d v="2025-02-16T00:00:00"/>
    <s v="F"/>
    <x v="4"/>
    <x v="4"/>
    <x v="0"/>
    <x v="22"/>
    <x v="3"/>
    <x v="6"/>
    <x v="2"/>
  </r>
  <r>
    <s v="TX501164"/>
    <x v="1"/>
    <x v="13"/>
    <n v="39.299999999999997"/>
    <n v="235.79999999999998"/>
    <d v="2025-02-15T00:00:00"/>
    <d v="2025-02-17T00:00:00"/>
    <s v="M"/>
    <x v="3"/>
    <x v="2"/>
    <x v="0"/>
    <x v="3"/>
    <x v="1"/>
    <x v="6"/>
    <x v="1"/>
  </r>
  <r>
    <s v="TX501165"/>
    <x v="9"/>
    <x v="0"/>
    <n v="70.2"/>
    <n v="70.2"/>
    <d v="2025-02-15T00:00:00"/>
    <d v="2025-02-16T00:00:00"/>
    <s v="F"/>
    <x v="0"/>
    <x v="4"/>
    <x v="0"/>
    <x v="3"/>
    <x v="3"/>
    <x v="6"/>
    <x v="2"/>
  </r>
  <r>
    <s v="TX501166"/>
    <x v="3"/>
    <x v="12"/>
    <n v="71.5"/>
    <n v="286"/>
    <d v="2025-02-15T00:00:00"/>
    <d v="2025-02-15T00:00:00"/>
    <s v="F"/>
    <x v="1"/>
    <x v="2"/>
    <x v="0"/>
    <x v="3"/>
    <x v="7"/>
    <x v="6"/>
    <x v="2"/>
  </r>
  <r>
    <s v="TX501167"/>
    <x v="10"/>
    <x v="3"/>
    <n v="31"/>
    <n v="217"/>
    <d v="2025-02-15T00:00:00"/>
    <d v="2025-02-22T00:00:00"/>
    <s v="F"/>
    <x v="3"/>
    <x v="2"/>
    <x v="0"/>
    <x v="3"/>
    <x v="6"/>
    <x v="6"/>
    <x v="2"/>
  </r>
  <r>
    <s v="TX501168"/>
    <x v="2"/>
    <x v="9"/>
    <n v="68.2"/>
    <n v="341"/>
    <d v="2025-02-15T00:00:00"/>
    <d v="2025-02-20T00:00:00"/>
    <s v="F"/>
    <x v="0"/>
    <x v="2"/>
    <x v="0"/>
    <x v="3"/>
    <x v="0"/>
    <x v="6"/>
    <x v="2"/>
  </r>
  <r>
    <s v="TX501169"/>
    <x v="2"/>
    <x v="0"/>
    <n v="91.4"/>
    <n v="91.4"/>
    <d v="2025-02-15T00:00:00"/>
    <d v="2025-02-19T00:00:00"/>
    <s v="F"/>
    <x v="1"/>
    <x v="2"/>
    <x v="0"/>
    <x v="6"/>
    <x v="5"/>
    <x v="6"/>
    <x v="2"/>
  </r>
  <r>
    <s v="TX501170"/>
    <x v="6"/>
    <x v="7"/>
    <n v="112.9"/>
    <n v="1129"/>
    <d v="2025-02-15T00:00:00"/>
    <d v="2025-02-16T00:00:00"/>
    <s v="F"/>
    <x v="0"/>
    <x v="0"/>
    <x v="0"/>
    <x v="6"/>
    <x v="3"/>
    <x v="6"/>
    <x v="2"/>
  </r>
  <r>
    <s v="TX501171"/>
    <x v="17"/>
    <x v="11"/>
    <n v="33.700000000000003"/>
    <n v="303.3"/>
    <d v="2025-02-15T00:00:00"/>
    <d v="2025-02-16T00:00:00"/>
    <s v="F"/>
    <x v="1"/>
    <x v="2"/>
    <x v="0"/>
    <x v="8"/>
    <x v="3"/>
    <x v="6"/>
    <x v="2"/>
  </r>
  <r>
    <s v="TX501172"/>
    <x v="15"/>
    <x v="7"/>
    <n v="35.299999999999997"/>
    <n v="353"/>
    <d v="2025-02-15T00:00:00"/>
    <d v="2025-02-17T00:00:00"/>
    <s v="M"/>
    <x v="2"/>
    <x v="0"/>
    <x v="0"/>
    <x v="8"/>
    <x v="1"/>
    <x v="6"/>
    <x v="1"/>
  </r>
  <r>
    <s v="TX501173"/>
    <x v="18"/>
    <x v="2"/>
    <n v="45.6"/>
    <n v="136.80000000000001"/>
    <d v="2025-02-15T00:00:00"/>
    <d v="2025-02-19T00:00:00"/>
    <s v="M"/>
    <x v="3"/>
    <x v="0"/>
    <x v="0"/>
    <x v="8"/>
    <x v="5"/>
    <x v="6"/>
    <x v="1"/>
  </r>
  <r>
    <s v="TX501174"/>
    <x v="7"/>
    <x v="3"/>
    <n v="47.1"/>
    <n v="329.7"/>
    <d v="2025-02-15T00:00:00"/>
    <d v="2025-02-16T00:00:00"/>
    <s v="F"/>
    <x v="4"/>
    <x v="2"/>
    <x v="0"/>
    <x v="9"/>
    <x v="3"/>
    <x v="6"/>
    <x v="2"/>
  </r>
  <r>
    <s v="TX501175"/>
    <x v="8"/>
    <x v="9"/>
    <n v="16.2"/>
    <n v="81"/>
    <d v="2025-02-15T00:00:00"/>
    <d v="2025-02-17T00:00:00"/>
    <s v="F"/>
    <x v="3"/>
    <x v="2"/>
    <x v="0"/>
    <x v="19"/>
    <x v="1"/>
    <x v="6"/>
    <x v="2"/>
  </r>
  <r>
    <s v="TX501176"/>
    <x v="1"/>
    <x v="1"/>
    <n v="159.69999999999999"/>
    <n v="319.39999999999998"/>
    <d v="2025-02-16T00:00:00"/>
    <d v="2025-02-17T00:00:00"/>
    <s v="M"/>
    <x v="4"/>
    <x v="0"/>
    <x v="0"/>
    <x v="13"/>
    <x v="3"/>
    <x v="7"/>
    <x v="1"/>
  </r>
  <r>
    <s v="TX501177"/>
    <x v="8"/>
    <x v="12"/>
    <n v="19"/>
    <n v="76"/>
    <d v="2025-02-16T00:00:00"/>
    <d v="2025-02-23T00:00:00"/>
    <s v="F"/>
    <x v="2"/>
    <x v="2"/>
    <x v="0"/>
    <x v="21"/>
    <x v="6"/>
    <x v="7"/>
    <x v="2"/>
  </r>
  <r>
    <s v="TX501178"/>
    <x v="6"/>
    <x v="13"/>
    <n v="91.1"/>
    <n v="546.59999999999991"/>
    <d v="2025-02-16T00:00:00"/>
    <d v="2025-02-25T00:00:00"/>
    <s v="F"/>
    <x v="4"/>
    <x v="0"/>
    <x v="0"/>
    <x v="21"/>
    <x v="8"/>
    <x v="7"/>
    <x v="2"/>
  </r>
  <r>
    <s v="TX501179"/>
    <x v="2"/>
    <x v="9"/>
    <n v="94.1"/>
    <n v="470.5"/>
    <d v="2025-02-16T00:00:00"/>
    <d v="2025-02-19T00:00:00"/>
    <s v=""/>
    <x v="1"/>
    <x v="1"/>
    <x v="0"/>
    <x v="21"/>
    <x v="2"/>
    <x v="7"/>
    <x v="0"/>
  </r>
  <r>
    <s v="TX501180"/>
    <x v="9"/>
    <x v="11"/>
    <n v="21.1"/>
    <n v="189.9"/>
    <d v="2025-02-16T00:00:00"/>
    <d v="2025-02-17T00:00:00"/>
    <s v="F"/>
    <x v="4"/>
    <x v="2"/>
    <x v="0"/>
    <x v="51"/>
    <x v="3"/>
    <x v="7"/>
    <x v="2"/>
  </r>
  <r>
    <s v="TX501181"/>
    <x v="8"/>
    <x v="3"/>
    <n v="15.3"/>
    <n v="107.10000000000001"/>
    <d v="2025-02-16T00:00:00"/>
    <d v="2025-02-24T00:00:00"/>
    <s v="F"/>
    <x v="2"/>
    <x v="0"/>
    <x v="0"/>
    <x v="1"/>
    <x v="9"/>
    <x v="7"/>
    <x v="2"/>
  </r>
  <r>
    <s v="TX501182"/>
    <x v="15"/>
    <x v="12"/>
    <n v="21.3"/>
    <n v="85.2"/>
    <d v="2025-02-16T00:00:00"/>
    <d v="2025-02-19T00:00:00"/>
    <s v="M"/>
    <x v="1"/>
    <x v="0"/>
    <x v="0"/>
    <x v="3"/>
    <x v="2"/>
    <x v="7"/>
    <x v="1"/>
  </r>
  <r>
    <s v="TX501183"/>
    <x v="0"/>
    <x v="1"/>
    <n v="23.2"/>
    <n v="46.4"/>
    <d v="2025-02-16T00:00:00"/>
    <d v="2025-02-16T00:00:00"/>
    <s v=""/>
    <x v="3"/>
    <x v="1"/>
    <x v="0"/>
    <x v="3"/>
    <x v="7"/>
    <x v="7"/>
    <x v="0"/>
  </r>
  <r>
    <s v="TX501184"/>
    <x v="4"/>
    <x v="2"/>
    <n v="25.7"/>
    <n v="77.099999999999994"/>
    <d v="2025-02-16T00:00:00"/>
    <d v="2025-02-17T00:00:00"/>
    <s v="M"/>
    <x v="4"/>
    <x v="0"/>
    <x v="0"/>
    <x v="3"/>
    <x v="3"/>
    <x v="7"/>
    <x v="1"/>
  </r>
  <r>
    <s v="TX501185"/>
    <x v="0"/>
    <x v="11"/>
    <n v="31.6"/>
    <n v="284.40000000000003"/>
    <d v="2025-02-16T00:00:00"/>
    <d v="2025-02-18T00:00:00"/>
    <s v="F"/>
    <x v="0"/>
    <x v="0"/>
    <x v="0"/>
    <x v="3"/>
    <x v="1"/>
    <x v="7"/>
    <x v="2"/>
  </r>
  <r>
    <s v="TX501186"/>
    <x v="6"/>
    <x v="0"/>
    <n v="64.2"/>
    <n v="64.2"/>
    <d v="2025-02-16T00:00:00"/>
    <d v="2025-02-21T00:00:00"/>
    <s v="M"/>
    <x v="0"/>
    <x v="0"/>
    <x v="0"/>
    <x v="3"/>
    <x v="0"/>
    <x v="7"/>
    <x v="1"/>
  </r>
  <r>
    <s v="TX501187"/>
    <x v="8"/>
    <x v="1"/>
    <n v="55.8"/>
    <n v="111.6"/>
    <d v="2025-02-16T00:00:00"/>
    <d v="2025-02-18T00:00:00"/>
    <s v=""/>
    <x v="0"/>
    <x v="0"/>
    <x v="0"/>
    <x v="3"/>
    <x v="1"/>
    <x v="7"/>
    <x v="0"/>
  </r>
  <r>
    <s v="TX501188"/>
    <x v="8"/>
    <x v="1"/>
    <n v="28.1"/>
    <n v="56.2"/>
    <d v="2025-02-16T00:00:00"/>
    <d v="2025-02-17T00:00:00"/>
    <s v="F"/>
    <x v="4"/>
    <x v="1"/>
    <x v="0"/>
    <x v="3"/>
    <x v="3"/>
    <x v="7"/>
    <x v="2"/>
  </r>
  <r>
    <s v="TX501189"/>
    <x v="0"/>
    <x v="1"/>
    <n v="11.6"/>
    <n v="23.2"/>
    <d v="2025-02-16T00:00:00"/>
    <d v="2025-02-18T00:00:00"/>
    <s v="F"/>
    <x v="1"/>
    <x v="0"/>
    <x v="0"/>
    <x v="24"/>
    <x v="1"/>
    <x v="7"/>
    <x v="2"/>
  </r>
  <r>
    <s v="TX501190"/>
    <x v="5"/>
    <x v="2"/>
    <n v="50.4"/>
    <n v="151.19999999999999"/>
    <d v="2025-02-16T00:00:00"/>
    <d v="2025-02-17T00:00:00"/>
    <s v="M"/>
    <x v="4"/>
    <x v="2"/>
    <x v="0"/>
    <x v="25"/>
    <x v="3"/>
    <x v="7"/>
    <x v="1"/>
  </r>
  <r>
    <s v="TX501191"/>
    <x v="6"/>
    <x v="13"/>
    <n v="48.3"/>
    <n v="289.79999999999995"/>
    <d v="2025-02-16T00:00:00"/>
    <d v="2025-02-20T00:00:00"/>
    <s v="F"/>
    <x v="0"/>
    <x v="0"/>
    <x v="0"/>
    <x v="25"/>
    <x v="5"/>
    <x v="7"/>
    <x v="2"/>
  </r>
  <r>
    <s v="TX501192"/>
    <x v="17"/>
    <x v="3"/>
    <n v="32.200000000000003"/>
    <n v="225.40000000000003"/>
    <d v="2025-02-16T00:00:00"/>
    <d v="2025-02-18T00:00:00"/>
    <s v="F"/>
    <x v="2"/>
    <x v="0"/>
    <x v="0"/>
    <x v="25"/>
    <x v="1"/>
    <x v="7"/>
    <x v="2"/>
  </r>
  <r>
    <s v="TX501193"/>
    <x v="7"/>
    <x v="31"/>
    <n v="48.5"/>
    <n v="1358"/>
    <d v="2025-02-16T00:00:00"/>
    <d v="2025-02-17T00:00:00"/>
    <s v="M"/>
    <x v="0"/>
    <x v="0"/>
    <x v="0"/>
    <x v="5"/>
    <x v="3"/>
    <x v="7"/>
    <x v="1"/>
  </r>
  <r>
    <s v="TX501194"/>
    <x v="2"/>
    <x v="9"/>
    <n v="62"/>
    <n v="310"/>
    <d v="2025-02-16T00:00:00"/>
    <d v="2025-02-19T00:00:00"/>
    <s v="F"/>
    <x v="1"/>
    <x v="0"/>
    <x v="0"/>
    <x v="6"/>
    <x v="2"/>
    <x v="7"/>
    <x v="2"/>
  </r>
  <r>
    <s v="TX501195"/>
    <x v="8"/>
    <x v="2"/>
    <n v="32.1"/>
    <n v="96.300000000000011"/>
    <d v="2025-02-17T00:00:00"/>
    <d v="2025-02-19T00:00:00"/>
    <s v="M"/>
    <x v="0"/>
    <x v="0"/>
    <x v="0"/>
    <x v="6"/>
    <x v="1"/>
    <x v="7"/>
    <x v="1"/>
  </r>
  <r>
    <s v="TX501196"/>
    <x v="12"/>
    <x v="2"/>
    <n v="106.1"/>
    <n v="318.29999999999995"/>
    <d v="2025-02-17T00:00:00"/>
    <d v="2025-02-19T00:00:00"/>
    <s v="M"/>
    <x v="0"/>
    <x v="1"/>
    <x v="0"/>
    <x v="7"/>
    <x v="1"/>
    <x v="7"/>
    <x v="1"/>
  </r>
  <r>
    <s v="TX501197"/>
    <x v="10"/>
    <x v="2"/>
    <n v="23.5"/>
    <n v="70.5"/>
    <d v="2025-02-17T00:00:00"/>
    <d v="2025-02-20T00:00:00"/>
    <s v="M"/>
    <x v="0"/>
    <x v="4"/>
    <x v="0"/>
    <x v="7"/>
    <x v="2"/>
    <x v="7"/>
    <x v="1"/>
  </r>
  <r>
    <s v="TX501198"/>
    <x v="1"/>
    <x v="1"/>
    <n v="35.6"/>
    <n v="71.2"/>
    <d v="2025-02-17T00:00:00"/>
    <d v="2025-02-22T00:00:00"/>
    <s v="M"/>
    <x v="4"/>
    <x v="0"/>
    <x v="0"/>
    <x v="8"/>
    <x v="0"/>
    <x v="7"/>
    <x v="1"/>
  </r>
  <r>
    <s v="TX501199"/>
    <x v="1"/>
    <x v="1"/>
    <n v="63.5"/>
    <n v="127"/>
    <d v="2025-02-17T00:00:00"/>
    <d v="2025-02-17T00:00:00"/>
    <s v="F"/>
    <x v="1"/>
    <x v="2"/>
    <x v="0"/>
    <x v="8"/>
    <x v="7"/>
    <x v="7"/>
    <x v="2"/>
  </r>
  <r>
    <s v="TX501200"/>
    <x v="6"/>
    <x v="3"/>
    <n v="82.9"/>
    <n v="580.30000000000007"/>
    <d v="2025-02-17T00:00:00"/>
    <d v="2025-02-22T00:00:00"/>
    <s v="F"/>
    <x v="4"/>
    <x v="0"/>
    <x v="0"/>
    <x v="9"/>
    <x v="0"/>
    <x v="7"/>
    <x v="2"/>
  </r>
  <r>
    <s v="TX501201"/>
    <x v="6"/>
    <x v="1"/>
    <n v="83.6"/>
    <n v="167.2"/>
    <d v="2025-02-17T00:00:00"/>
    <d v="2025-02-22T00:00:00"/>
    <s v="F"/>
    <x v="0"/>
    <x v="0"/>
    <x v="0"/>
    <x v="11"/>
    <x v="0"/>
    <x v="7"/>
    <x v="2"/>
  </r>
  <r>
    <s v="TX501202"/>
    <x v="4"/>
    <x v="1"/>
    <n v="29.4"/>
    <n v="58.8"/>
    <d v="2025-02-17T00:00:00"/>
    <d v="2025-02-17T00:00:00"/>
    <s v="F"/>
    <x v="0"/>
    <x v="1"/>
    <x v="0"/>
    <x v="30"/>
    <x v="7"/>
    <x v="7"/>
    <x v="2"/>
  </r>
  <r>
    <s v="TX501203"/>
    <x v="2"/>
    <x v="2"/>
    <n v="107.1"/>
    <n v="321.29999999999995"/>
    <d v="2025-02-17T00:00:00"/>
    <d v="2025-02-21T00:00:00"/>
    <s v="F"/>
    <x v="2"/>
    <x v="0"/>
    <x v="0"/>
    <x v="20"/>
    <x v="5"/>
    <x v="7"/>
    <x v="2"/>
  </r>
  <r>
    <s v="TX501204"/>
    <x v="2"/>
    <x v="0"/>
    <n v="62.7"/>
    <n v="62.7"/>
    <d v="2025-02-17T00:00:00"/>
    <d v="2025-02-21T00:00:00"/>
    <s v="M"/>
    <x v="1"/>
    <x v="0"/>
    <x v="0"/>
    <x v="21"/>
    <x v="5"/>
    <x v="7"/>
    <x v="1"/>
  </r>
  <r>
    <s v="TX501205"/>
    <x v="11"/>
    <x v="0"/>
    <n v="41.6"/>
    <n v="41.6"/>
    <d v="2025-02-17T00:00:00"/>
    <d v="2025-02-18T00:00:00"/>
    <s v="M"/>
    <x v="0"/>
    <x v="1"/>
    <x v="0"/>
    <x v="1"/>
    <x v="3"/>
    <x v="7"/>
    <x v="1"/>
  </r>
  <r>
    <s v="TX501206"/>
    <x v="6"/>
    <x v="0"/>
    <n v="44.2"/>
    <n v="44.2"/>
    <d v="2025-02-17T00:00:00"/>
    <d v="2025-02-18T00:00:00"/>
    <s v="O"/>
    <x v="0"/>
    <x v="1"/>
    <x v="0"/>
    <x v="1"/>
    <x v="3"/>
    <x v="7"/>
    <x v="3"/>
  </r>
  <r>
    <s v="TX501207"/>
    <x v="4"/>
    <x v="13"/>
    <n v="40.4"/>
    <n v="242.39999999999998"/>
    <d v="2025-02-17T00:00:00"/>
    <d v="2025-03-02T00:00:00"/>
    <s v="F"/>
    <x v="2"/>
    <x v="0"/>
    <x v="0"/>
    <x v="22"/>
    <x v="10"/>
    <x v="7"/>
    <x v="2"/>
  </r>
  <r>
    <s v="TX501208"/>
    <x v="15"/>
    <x v="13"/>
    <n v="59.6"/>
    <n v="357.6"/>
    <d v="2025-02-17T00:00:00"/>
    <d v="2025-02-18T00:00:00"/>
    <s v="F"/>
    <x v="4"/>
    <x v="0"/>
    <x v="0"/>
    <x v="34"/>
    <x v="3"/>
    <x v="7"/>
    <x v="2"/>
  </r>
  <r>
    <s v="TX501209"/>
    <x v="17"/>
    <x v="4"/>
    <n v="63.8"/>
    <n v="765.59999999999991"/>
    <d v="2025-02-17T00:00:00"/>
    <d v="2025-02-18T00:00:00"/>
    <s v="M"/>
    <x v="1"/>
    <x v="0"/>
    <x v="0"/>
    <x v="3"/>
    <x v="3"/>
    <x v="7"/>
    <x v="1"/>
  </r>
  <r>
    <s v="TX501210"/>
    <x v="9"/>
    <x v="13"/>
    <n v="30.8"/>
    <n v="184.8"/>
    <d v="2025-02-17T00:00:00"/>
    <d v="2025-02-19T00:00:00"/>
    <s v="M"/>
    <x v="4"/>
    <x v="0"/>
    <x v="0"/>
    <x v="3"/>
    <x v="1"/>
    <x v="7"/>
    <x v="1"/>
  </r>
  <r>
    <s v="TX501211"/>
    <x v="1"/>
    <x v="1"/>
    <n v="41.5"/>
    <n v="83"/>
    <d v="2025-02-17T00:00:00"/>
    <d v="2025-02-20T00:00:00"/>
    <s v="O"/>
    <x v="0"/>
    <x v="0"/>
    <x v="0"/>
    <x v="3"/>
    <x v="2"/>
    <x v="7"/>
    <x v="3"/>
  </r>
  <r>
    <s v="TX501212"/>
    <x v="10"/>
    <x v="12"/>
    <n v="44.7"/>
    <n v="178.8"/>
    <d v="2025-02-17T00:00:00"/>
    <d v="2025-02-19T00:00:00"/>
    <s v="F"/>
    <x v="2"/>
    <x v="1"/>
    <x v="0"/>
    <x v="3"/>
    <x v="1"/>
    <x v="7"/>
    <x v="2"/>
  </r>
  <r>
    <s v="TX501213"/>
    <x v="12"/>
    <x v="1"/>
    <n v="64.099999999999994"/>
    <n v="128.19999999999999"/>
    <d v="2025-02-17T00:00:00"/>
    <d v="2025-02-21T00:00:00"/>
    <s v="F"/>
    <x v="1"/>
    <x v="4"/>
    <x v="0"/>
    <x v="3"/>
    <x v="5"/>
    <x v="7"/>
    <x v="2"/>
  </r>
  <r>
    <s v="TX501214"/>
    <x v="8"/>
    <x v="0"/>
    <n v="15.9"/>
    <n v="15.9"/>
    <d v="2025-02-17T00:00:00"/>
    <d v="2025-02-20T00:00:00"/>
    <s v=""/>
    <x v="1"/>
    <x v="0"/>
    <x v="0"/>
    <x v="3"/>
    <x v="2"/>
    <x v="7"/>
    <x v="0"/>
  </r>
  <r>
    <s v="TX501215"/>
    <x v="6"/>
    <x v="1"/>
    <n v="78.7"/>
    <n v="157.4"/>
    <d v="2025-02-17T00:00:00"/>
    <d v="2025-02-17T00:00:00"/>
    <s v="F"/>
    <x v="2"/>
    <x v="1"/>
    <x v="0"/>
    <x v="3"/>
    <x v="7"/>
    <x v="7"/>
    <x v="2"/>
  </r>
  <r>
    <s v="TX501216"/>
    <x v="5"/>
    <x v="4"/>
    <n v="29.6"/>
    <n v="355.20000000000005"/>
    <d v="2025-02-17T00:00:00"/>
    <d v="2025-02-21T00:00:00"/>
    <s v="M"/>
    <x v="2"/>
    <x v="4"/>
    <x v="0"/>
    <x v="3"/>
    <x v="5"/>
    <x v="7"/>
    <x v="1"/>
  </r>
  <r>
    <s v="TX501217"/>
    <x v="8"/>
    <x v="12"/>
    <n v="21.5"/>
    <n v="86"/>
    <d v="2025-02-17T00:00:00"/>
    <d v="2025-02-20T00:00:00"/>
    <s v="M"/>
    <x v="1"/>
    <x v="0"/>
    <x v="0"/>
    <x v="3"/>
    <x v="2"/>
    <x v="7"/>
    <x v="1"/>
  </r>
  <r>
    <s v="TX501218"/>
    <x v="9"/>
    <x v="2"/>
    <n v="74.900000000000006"/>
    <n v="224.70000000000002"/>
    <d v="2025-02-17T00:00:00"/>
    <d v="2025-02-26T00:00:00"/>
    <s v="M"/>
    <x v="3"/>
    <x v="1"/>
    <x v="0"/>
    <x v="3"/>
    <x v="8"/>
    <x v="7"/>
    <x v="1"/>
  </r>
  <r>
    <s v="TX501219"/>
    <x v="10"/>
    <x v="13"/>
    <n v="45"/>
    <n v="270"/>
    <d v="2025-02-17T00:00:00"/>
    <d v="2025-02-22T00:00:00"/>
    <s v="F"/>
    <x v="2"/>
    <x v="0"/>
    <x v="0"/>
    <x v="3"/>
    <x v="0"/>
    <x v="7"/>
    <x v="2"/>
  </r>
  <r>
    <s v="TX501220"/>
    <x v="7"/>
    <x v="33"/>
    <n v="37.9"/>
    <n v="1288.5999999999999"/>
    <d v="2025-02-17T00:00:00"/>
    <d v="2025-02-18T00:00:00"/>
    <s v="M"/>
    <x v="0"/>
    <x v="0"/>
    <x v="0"/>
    <x v="3"/>
    <x v="3"/>
    <x v="7"/>
    <x v="1"/>
  </r>
  <r>
    <s v="TX501221"/>
    <x v="6"/>
    <x v="2"/>
    <n v="56.6"/>
    <n v="169.8"/>
    <d v="2025-02-17T00:00:00"/>
    <d v="2025-02-18T00:00:00"/>
    <s v="M"/>
    <x v="3"/>
    <x v="0"/>
    <x v="0"/>
    <x v="3"/>
    <x v="3"/>
    <x v="7"/>
    <x v="1"/>
  </r>
  <r>
    <s v="TX501222"/>
    <x v="3"/>
    <x v="15"/>
    <n v="84.5"/>
    <n v="1098.5"/>
    <d v="2025-02-17T00:00:00"/>
    <d v="2025-02-20T00:00:00"/>
    <s v="F"/>
    <x v="1"/>
    <x v="4"/>
    <x v="0"/>
    <x v="3"/>
    <x v="2"/>
    <x v="7"/>
    <x v="2"/>
  </r>
  <r>
    <s v="TX501223"/>
    <x v="2"/>
    <x v="9"/>
    <n v="105.4"/>
    <n v="527"/>
    <d v="2025-02-17T00:00:00"/>
    <d v="2025-02-19T00:00:00"/>
    <s v="F"/>
    <x v="1"/>
    <x v="1"/>
    <x v="0"/>
    <x v="3"/>
    <x v="1"/>
    <x v="7"/>
    <x v="2"/>
  </r>
  <r>
    <s v="TX501224"/>
    <x v="18"/>
    <x v="3"/>
    <n v="39.4"/>
    <n v="275.8"/>
    <d v="2025-02-18T00:00:00"/>
    <d v="2025-02-18T00:00:00"/>
    <s v="M"/>
    <x v="1"/>
    <x v="0"/>
    <x v="0"/>
    <x v="37"/>
    <x v="7"/>
    <x v="7"/>
    <x v="1"/>
  </r>
  <r>
    <s v="TX501225"/>
    <x v="19"/>
    <x v="2"/>
    <n v="38"/>
    <n v="114"/>
    <d v="2025-02-18T00:00:00"/>
    <d v="2025-02-21T00:00:00"/>
    <s v="M"/>
    <x v="4"/>
    <x v="1"/>
    <x v="0"/>
    <x v="6"/>
    <x v="2"/>
    <x v="7"/>
    <x v="1"/>
  </r>
  <r>
    <s v="TX501226"/>
    <x v="17"/>
    <x v="12"/>
    <n v="42.5"/>
    <n v="170"/>
    <d v="2025-02-18T00:00:00"/>
    <d v="2025-02-20T00:00:00"/>
    <s v=""/>
    <x v="0"/>
    <x v="0"/>
    <x v="0"/>
    <x v="6"/>
    <x v="1"/>
    <x v="7"/>
    <x v="0"/>
  </r>
  <r>
    <s v="TX501227"/>
    <x v="15"/>
    <x v="0"/>
    <n v="62.3"/>
    <n v="62.3"/>
    <d v="2025-02-18T00:00:00"/>
    <d v="2025-02-27T00:00:00"/>
    <s v="M"/>
    <x v="0"/>
    <x v="2"/>
    <x v="0"/>
    <x v="6"/>
    <x v="8"/>
    <x v="7"/>
    <x v="1"/>
  </r>
  <r>
    <s v="TX501228"/>
    <x v="6"/>
    <x v="9"/>
    <n v="49.1"/>
    <n v="245.5"/>
    <d v="2025-02-18T00:00:00"/>
    <d v="2025-02-20T00:00:00"/>
    <s v="F"/>
    <x v="1"/>
    <x v="2"/>
    <x v="0"/>
    <x v="7"/>
    <x v="1"/>
    <x v="7"/>
    <x v="2"/>
  </r>
  <r>
    <s v="TX501229"/>
    <x v="3"/>
    <x v="1"/>
    <n v="30.5"/>
    <n v="61"/>
    <d v="2025-02-18T00:00:00"/>
    <d v="2025-02-21T00:00:00"/>
    <s v="M"/>
    <x v="0"/>
    <x v="2"/>
    <x v="0"/>
    <x v="8"/>
    <x v="2"/>
    <x v="7"/>
    <x v="1"/>
  </r>
  <r>
    <s v="TX501230"/>
    <x v="2"/>
    <x v="1"/>
    <n v="154.80000000000001"/>
    <n v="309.60000000000002"/>
    <d v="2025-02-18T00:00:00"/>
    <d v="2025-02-21T00:00:00"/>
    <s v="F"/>
    <x v="1"/>
    <x v="4"/>
    <x v="0"/>
    <x v="8"/>
    <x v="2"/>
    <x v="7"/>
    <x v="2"/>
  </r>
  <r>
    <s v="TX501231"/>
    <x v="6"/>
    <x v="0"/>
    <n v="45"/>
    <n v="45"/>
    <d v="2025-02-18T00:00:00"/>
    <d v="2025-02-22T00:00:00"/>
    <s v="M"/>
    <x v="3"/>
    <x v="1"/>
    <x v="0"/>
    <x v="8"/>
    <x v="5"/>
    <x v="7"/>
    <x v="1"/>
  </r>
  <r>
    <s v="TX501232"/>
    <x v="0"/>
    <x v="3"/>
    <n v="15.3"/>
    <n v="107.10000000000001"/>
    <d v="2025-02-18T00:00:00"/>
    <d v="2025-02-19T00:00:00"/>
    <s v="M"/>
    <x v="0"/>
    <x v="2"/>
    <x v="0"/>
    <x v="8"/>
    <x v="3"/>
    <x v="7"/>
    <x v="1"/>
  </r>
  <r>
    <s v="TX501233"/>
    <x v="2"/>
    <x v="5"/>
    <n v="88.6"/>
    <n v="974.59999999999991"/>
    <d v="2025-02-18T00:00:00"/>
    <d v="2025-02-21T00:00:00"/>
    <s v="F"/>
    <x v="0"/>
    <x v="4"/>
    <x v="0"/>
    <x v="17"/>
    <x v="2"/>
    <x v="7"/>
    <x v="2"/>
  </r>
  <r>
    <s v="TX501234"/>
    <x v="9"/>
    <x v="1"/>
    <n v="49.7"/>
    <n v="99.4"/>
    <d v="2025-02-18T00:00:00"/>
    <d v="2025-02-20T00:00:00"/>
    <s v="O"/>
    <x v="4"/>
    <x v="0"/>
    <x v="0"/>
    <x v="10"/>
    <x v="1"/>
    <x v="7"/>
    <x v="3"/>
  </r>
  <r>
    <s v="TX501235"/>
    <x v="10"/>
    <x v="0"/>
    <n v="29"/>
    <n v="29"/>
    <d v="2025-02-18T00:00:00"/>
    <d v="2025-02-19T00:00:00"/>
    <s v="M"/>
    <x v="0"/>
    <x v="0"/>
    <x v="0"/>
    <x v="11"/>
    <x v="3"/>
    <x v="7"/>
    <x v="1"/>
  </r>
  <r>
    <s v="TX501236"/>
    <x v="1"/>
    <x v="0"/>
    <n v="60.7"/>
    <n v="60.7"/>
    <d v="2025-02-18T00:00:00"/>
    <d v="2025-02-19T00:00:00"/>
    <s v="O"/>
    <x v="0"/>
    <x v="1"/>
    <x v="0"/>
    <x v="11"/>
    <x v="3"/>
    <x v="7"/>
    <x v="3"/>
  </r>
  <r>
    <s v="TX501237"/>
    <x v="17"/>
    <x v="12"/>
    <n v="87.4"/>
    <n v="349.6"/>
    <d v="2025-02-18T00:00:00"/>
    <d v="2025-02-20T00:00:00"/>
    <s v=""/>
    <x v="0"/>
    <x v="0"/>
    <x v="0"/>
    <x v="11"/>
    <x v="1"/>
    <x v="7"/>
    <x v="0"/>
  </r>
  <r>
    <s v="TX501238"/>
    <x v="4"/>
    <x v="3"/>
    <n v="44.5"/>
    <n v="311.5"/>
    <d v="2025-02-18T00:00:00"/>
    <d v="2025-02-22T00:00:00"/>
    <s v="F"/>
    <x v="2"/>
    <x v="2"/>
    <x v="0"/>
    <x v="19"/>
    <x v="5"/>
    <x v="7"/>
    <x v="2"/>
  </r>
  <r>
    <s v="TX501239"/>
    <x v="2"/>
    <x v="0"/>
    <n v="141"/>
    <n v="141"/>
    <d v="2025-02-18T00:00:00"/>
    <d v="2025-02-19T00:00:00"/>
    <s v="M"/>
    <x v="4"/>
    <x v="2"/>
    <x v="0"/>
    <x v="19"/>
    <x v="3"/>
    <x v="7"/>
    <x v="1"/>
  </r>
  <r>
    <s v="TX501240"/>
    <x v="0"/>
    <x v="2"/>
    <n v="16.7"/>
    <n v="50.099999999999994"/>
    <d v="2025-02-18T00:00:00"/>
    <d v="2025-02-26T00:00:00"/>
    <s v="F"/>
    <x v="0"/>
    <x v="0"/>
    <x v="0"/>
    <x v="20"/>
    <x v="9"/>
    <x v="7"/>
    <x v="2"/>
  </r>
  <r>
    <s v="TX501241"/>
    <x v="1"/>
    <x v="1"/>
    <n v="77.5"/>
    <n v="155"/>
    <d v="2025-02-18T00:00:00"/>
    <d v="2025-02-19T00:00:00"/>
    <s v=""/>
    <x v="2"/>
    <x v="2"/>
    <x v="0"/>
    <x v="13"/>
    <x v="3"/>
    <x v="7"/>
    <x v="0"/>
  </r>
  <r>
    <s v="TX501242"/>
    <x v="2"/>
    <x v="1"/>
    <n v="163"/>
    <n v="326"/>
    <d v="2025-02-18T00:00:00"/>
    <d v="2025-02-24T00:00:00"/>
    <s v="F"/>
    <x v="4"/>
    <x v="0"/>
    <x v="0"/>
    <x v="21"/>
    <x v="4"/>
    <x v="7"/>
    <x v="2"/>
  </r>
  <r>
    <s v="TX501243"/>
    <x v="4"/>
    <x v="11"/>
    <n v="21.4"/>
    <n v="192.6"/>
    <d v="2025-02-18T00:00:00"/>
    <d v="2025-02-21T00:00:00"/>
    <s v="F"/>
    <x v="0"/>
    <x v="0"/>
    <x v="0"/>
    <x v="51"/>
    <x v="2"/>
    <x v="7"/>
    <x v="2"/>
  </r>
  <r>
    <s v="TX501244"/>
    <x v="10"/>
    <x v="5"/>
    <n v="31"/>
    <n v="341"/>
    <d v="2025-02-18T00:00:00"/>
    <d v="2025-02-20T00:00:00"/>
    <s v="F"/>
    <x v="3"/>
    <x v="2"/>
    <x v="0"/>
    <x v="1"/>
    <x v="1"/>
    <x v="7"/>
    <x v="2"/>
  </r>
  <r>
    <s v="TX501245"/>
    <x v="7"/>
    <x v="1"/>
    <n v="34.299999999999997"/>
    <n v="68.599999999999994"/>
    <d v="2025-02-18T00:00:00"/>
    <d v="2025-02-20T00:00:00"/>
    <s v="F"/>
    <x v="0"/>
    <x v="3"/>
    <x v="0"/>
    <x v="1"/>
    <x v="1"/>
    <x v="7"/>
    <x v="2"/>
  </r>
  <r>
    <s v="TX501246"/>
    <x v="17"/>
    <x v="9"/>
    <n v="48.2"/>
    <n v="241"/>
    <d v="2025-02-18T00:00:00"/>
    <d v="2025-02-19T00:00:00"/>
    <s v="M"/>
    <x v="1"/>
    <x v="1"/>
    <x v="0"/>
    <x v="2"/>
    <x v="3"/>
    <x v="7"/>
    <x v="1"/>
  </r>
  <r>
    <s v="TX501247"/>
    <x v="10"/>
    <x v="0"/>
    <n v="51.4"/>
    <n v="51.4"/>
    <d v="2025-02-18T00:00:00"/>
    <d v="2025-02-19T00:00:00"/>
    <s v="M"/>
    <x v="0"/>
    <x v="0"/>
    <x v="0"/>
    <x v="3"/>
    <x v="3"/>
    <x v="7"/>
    <x v="1"/>
  </r>
  <r>
    <s v="TX501248"/>
    <x v="2"/>
    <x v="9"/>
    <n v="117.2"/>
    <n v="586"/>
    <d v="2025-02-18T00:00:00"/>
    <d v="2025-02-21T00:00:00"/>
    <s v="F"/>
    <x v="4"/>
    <x v="4"/>
    <x v="0"/>
    <x v="3"/>
    <x v="2"/>
    <x v="7"/>
    <x v="2"/>
  </r>
  <r>
    <s v="TX501249"/>
    <x v="8"/>
    <x v="0"/>
    <n v="38.1"/>
    <n v="38.1"/>
    <d v="2025-02-18T00:00:00"/>
    <d v="2025-02-18T00:00:00"/>
    <s v="M"/>
    <x v="4"/>
    <x v="1"/>
    <x v="0"/>
    <x v="3"/>
    <x v="7"/>
    <x v="7"/>
    <x v="1"/>
  </r>
  <r>
    <s v="TX501250"/>
    <x v="0"/>
    <x v="1"/>
    <n v="44.1"/>
    <n v="88.2"/>
    <d v="2025-02-18T00:00:00"/>
    <d v="2025-02-20T00:00:00"/>
    <s v="F"/>
    <x v="2"/>
    <x v="0"/>
    <x v="0"/>
    <x v="3"/>
    <x v="1"/>
    <x v="7"/>
    <x v="2"/>
  </r>
  <r>
    <s v="TX501251"/>
    <x v="15"/>
    <x v="12"/>
    <n v="80.5"/>
    <n v="322"/>
    <d v="2025-02-18T00:00:00"/>
    <d v="2025-02-23T00:00:00"/>
    <s v="M"/>
    <x v="0"/>
    <x v="0"/>
    <x v="0"/>
    <x v="3"/>
    <x v="0"/>
    <x v="7"/>
    <x v="1"/>
  </r>
  <r>
    <s v="TX501252"/>
    <x v="18"/>
    <x v="12"/>
    <n v="33.6"/>
    <n v="134.4"/>
    <d v="2025-02-18T00:00:00"/>
    <d v="2025-02-23T00:00:00"/>
    <s v=""/>
    <x v="0"/>
    <x v="2"/>
    <x v="0"/>
    <x v="3"/>
    <x v="0"/>
    <x v="7"/>
    <x v="0"/>
  </r>
  <r>
    <s v="TX501253"/>
    <x v="9"/>
    <x v="11"/>
    <n v="41.8"/>
    <n v="376.2"/>
    <d v="2025-02-18T00:00:00"/>
    <d v="2025-02-19T00:00:00"/>
    <s v="F"/>
    <x v="0"/>
    <x v="1"/>
    <x v="0"/>
    <x v="3"/>
    <x v="3"/>
    <x v="7"/>
    <x v="2"/>
  </r>
  <r>
    <s v="TX501254"/>
    <x v="1"/>
    <x v="1"/>
    <n v="106.2"/>
    <n v="212.4"/>
    <d v="2025-02-18T00:00:00"/>
    <d v="2025-02-18T00:00:00"/>
    <s v="F"/>
    <x v="4"/>
    <x v="2"/>
    <x v="0"/>
    <x v="3"/>
    <x v="7"/>
    <x v="7"/>
    <x v="2"/>
  </r>
  <r>
    <s v="TX501255"/>
    <x v="1"/>
    <x v="1"/>
    <n v="52.6"/>
    <n v="105.2"/>
    <d v="2025-02-18T00:00:00"/>
    <d v="2025-02-19T00:00:00"/>
    <s v="F"/>
    <x v="0"/>
    <x v="2"/>
    <x v="0"/>
    <x v="5"/>
    <x v="3"/>
    <x v="7"/>
    <x v="2"/>
  </r>
  <r>
    <s v="TX501256"/>
    <x v="11"/>
    <x v="3"/>
    <n v="68.5"/>
    <n v="479.5"/>
    <d v="2025-02-18T00:00:00"/>
    <d v="2025-02-19T00:00:00"/>
    <s v="F"/>
    <x v="1"/>
    <x v="0"/>
    <x v="0"/>
    <x v="5"/>
    <x v="3"/>
    <x v="7"/>
    <x v="2"/>
  </r>
  <r>
    <s v="TX501257"/>
    <x v="1"/>
    <x v="1"/>
    <n v="55.6"/>
    <n v="111.2"/>
    <d v="2025-02-18T00:00:00"/>
    <d v="2025-02-20T00:00:00"/>
    <s v="M"/>
    <x v="1"/>
    <x v="2"/>
    <x v="0"/>
    <x v="6"/>
    <x v="1"/>
    <x v="7"/>
    <x v="1"/>
  </r>
  <r>
    <s v="TX501258"/>
    <x v="2"/>
    <x v="2"/>
    <n v="134.9"/>
    <n v="404.70000000000005"/>
    <d v="2025-02-18T00:00:00"/>
    <d v="2025-02-19T00:00:00"/>
    <s v="M"/>
    <x v="1"/>
    <x v="1"/>
    <x v="0"/>
    <x v="6"/>
    <x v="3"/>
    <x v="7"/>
    <x v="1"/>
  </r>
  <r>
    <s v="TX501259"/>
    <x v="10"/>
    <x v="9"/>
    <n v="42.6"/>
    <n v="213"/>
    <d v="2025-02-18T00:00:00"/>
    <d v="2025-02-19T00:00:00"/>
    <s v="M"/>
    <x v="0"/>
    <x v="0"/>
    <x v="0"/>
    <x v="6"/>
    <x v="3"/>
    <x v="7"/>
    <x v="1"/>
  </r>
  <r>
    <s v="TX501260"/>
    <x v="7"/>
    <x v="9"/>
    <n v="60.6"/>
    <n v="303"/>
    <d v="2025-02-18T00:00:00"/>
    <d v="2025-02-20T00:00:00"/>
    <s v="M"/>
    <x v="4"/>
    <x v="0"/>
    <x v="0"/>
    <x v="6"/>
    <x v="1"/>
    <x v="7"/>
    <x v="1"/>
  </r>
  <r>
    <s v="TX501261"/>
    <x v="8"/>
    <x v="1"/>
    <n v="43.5"/>
    <n v="87"/>
    <d v="2025-02-18T00:00:00"/>
    <d v="2025-02-19T00:00:00"/>
    <s v="M"/>
    <x v="4"/>
    <x v="0"/>
    <x v="0"/>
    <x v="7"/>
    <x v="3"/>
    <x v="7"/>
    <x v="1"/>
  </r>
  <r>
    <s v="TX501262"/>
    <x v="2"/>
    <x v="1"/>
    <n v="187.1"/>
    <n v="374.2"/>
    <d v="2025-02-18T00:00:00"/>
    <d v="2025-02-19T00:00:00"/>
    <s v="M"/>
    <x v="1"/>
    <x v="2"/>
    <x v="0"/>
    <x v="8"/>
    <x v="3"/>
    <x v="7"/>
    <x v="1"/>
  </r>
  <r>
    <s v="TX501263"/>
    <x v="9"/>
    <x v="2"/>
    <n v="32"/>
    <n v="96"/>
    <d v="2025-02-18T00:00:00"/>
    <d v="2025-02-20T00:00:00"/>
    <s v="M"/>
    <x v="0"/>
    <x v="0"/>
    <x v="0"/>
    <x v="8"/>
    <x v="1"/>
    <x v="7"/>
    <x v="1"/>
  </r>
  <r>
    <s v="TX501264"/>
    <x v="9"/>
    <x v="1"/>
    <n v="110.8"/>
    <n v="221.6"/>
    <d v="2025-02-18T00:00:00"/>
    <d v="2025-02-18T00:00:00"/>
    <s v="M"/>
    <x v="0"/>
    <x v="2"/>
    <x v="0"/>
    <x v="8"/>
    <x v="7"/>
    <x v="7"/>
    <x v="1"/>
  </r>
  <r>
    <s v="TX501265"/>
    <x v="10"/>
    <x v="15"/>
    <n v="36.1"/>
    <n v="469.3"/>
    <d v="2025-02-18T00:00:00"/>
    <d v="2025-02-21T00:00:00"/>
    <s v="F"/>
    <x v="0"/>
    <x v="1"/>
    <x v="0"/>
    <x v="8"/>
    <x v="2"/>
    <x v="7"/>
    <x v="2"/>
  </r>
  <r>
    <s v="TX501266"/>
    <x v="0"/>
    <x v="0"/>
    <n v="24.1"/>
    <n v="24.1"/>
    <d v="2025-02-18T00:00:00"/>
    <d v="2025-02-20T00:00:00"/>
    <s v="F"/>
    <x v="4"/>
    <x v="2"/>
    <x v="0"/>
    <x v="8"/>
    <x v="1"/>
    <x v="7"/>
    <x v="2"/>
  </r>
  <r>
    <s v="TX501267"/>
    <x v="19"/>
    <x v="2"/>
    <n v="30.5"/>
    <n v="91.5"/>
    <d v="2025-02-18T00:00:00"/>
    <d v="2025-02-20T00:00:00"/>
    <s v="M"/>
    <x v="1"/>
    <x v="0"/>
    <x v="0"/>
    <x v="8"/>
    <x v="1"/>
    <x v="7"/>
    <x v="1"/>
  </r>
  <r>
    <s v="TX501268"/>
    <x v="18"/>
    <x v="13"/>
    <n v="68.3"/>
    <n v="409.79999999999995"/>
    <d v="2025-02-18T00:00:00"/>
    <d v="2025-02-21T00:00:00"/>
    <s v="M"/>
    <x v="0"/>
    <x v="0"/>
    <x v="0"/>
    <x v="8"/>
    <x v="2"/>
    <x v="7"/>
    <x v="1"/>
  </r>
  <r>
    <s v="TX501269"/>
    <x v="7"/>
    <x v="2"/>
    <n v="43.3"/>
    <n v="129.89999999999998"/>
    <d v="2025-02-18T00:00:00"/>
    <d v="2025-02-22T00:00:00"/>
    <s v="F"/>
    <x v="0"/>
    <x v="0"/>
    <x v="0"/>
    <x v="17"/>
    <x v="5"/>
    <x v="7"/>
    <x v="2"/>
  </r>
  <r>
    <s v="TX501270"/>
    <x v="3"/>
    <x v="0"/>
    <n v="101.7"/>
    <n v="101.7"/>
    <d v="2025-02-18T00:00:00"/>
    <d v="2025-02-21T00:00:00"/>
    <s v="F"/>
    <x v="0"/>
    <x v="1"/>
    <x v="0"/>
    <x v="17"/>
    <x v="2"/>
    <x v="7"/>
    <x v="2"/>
  </r>
  <r>
    <s v="TX501271"/>
    <x v="11"/>
    <x v="1"/>
    <n v="54.2"/>
    <n v="108.4"/>
    <d v="2025-02-18T00:00:00"/>
    <d v="2025-02-19T00:00:00"/>
    <s v="F"/>
    <x v="0"/>
    <x v="1"/>
    <x v="0"/>
    <x v="17"/>
    <x v="3"/>
    <x v="7"/>
    <x v="2"/>
  </r>
  <r>
    <s v="TX501272"/>
    <x v="16"/>
    <x v="1"/>
    <n v="51"/>
    <n v="102"/>
    <d v="2025-02-18T00:00:00"/>
    <d v="2025-02-18T00:00:00"/>
    <s v="M"/>
    <x v="1"/>
    <x v="0"/>
    <x v="0"/>
    <x v="26"/>
    <x v="7"/>
    <x v="7"/>
    <x v="1"/>
  </r>
  <r>
    <s v="TX501273"/>
    <x v="4"/>
    <x v="1"/>
    <n v="23.1"/>
    <n v="46.2"/>
    <d v="2025-02-18T00:00:00"/>
    <d v="2025-02-21T00:00:00"/>
    <s v="M"/>
    <x v="1"/>
    <x v="0"/>
    <x v="0"/>
    <x v="10"/>
    <x v="2"/>
    <x v="7"/>
    <x v="1"/>
  </r>
  <r>
    <s v="TX501274"/>
    <x v="12"/>
    <x v="13"/>
    <n v="60.1"/>
    <n v="360.6"/>
    <d v="2025-02-18T00:00:00"/>
    <d v="2025-02-18T00:00:00"/>
    <s v="F"/>
    <x v="3"/>
    <x v="0"/>
    <x v="0"/>
    <x v="11"/>
    <x v="7"/>
    <x v="7"/>
    <x v="2"/>
  </r>
  <r>
    <s v="TX501275"/>
    <x v="2"/>
    <x v="3"/>
    <n v="87.5"/>
    <n v="612.5"/>
    <d v="2025-02-18T00:00:00"/>
    <d v="2025-02-20T00:00:00"/>
    <s v="F"/>
    <x v="0"/>
    <x v="1"/>
    <x v="0"/>
    <x v="11"/>
    <x v="1"/>
    <x v="7"/>
    <x v="2"/>
  </r>
  <r>
    <s v="TX501276"/>
    <x v="1"/>
    <x v="2"/>
    <n v="51"/>
    <n v="153"/>
    <d v="2025-02-18T00:00:00"/>
    <d v="2025-02-19T00:00:00"/>
    <s v="F"/>
    <x v="1"/>
    <x v="0"/>
    <x v="0"/>
    <x v="11"/>
    <x v="3"/>
    <x v="7"/>
    <x v="2"/>
  </r>
  <r>
    <s v="TX501277"/>
    <x v="8"/>
    <x v="12"/>
    <n v="19.2"/>
    <n v="76.8"/>
    <d v="2025-02-18T00:00:00"/>
    <d v="2025-02-20T00:00:00"/>
    <s v="F"/>
    <x v="0"/>
    <x v="0"/>
    <x v="0"/>
    <x v="11"/>
    <x v="1"/>
    <x v="7"/>
    <x v="2"/>
  </r>
  <r>
    <s v="TX501278"/>
    <x v="5"/>
    <x v="8"/>
    <n v="26.5"/>
    <n v="212"/>
    <d v="2025-02-18T00:00:00"/>
    <d v="2025-02-19T00:00:00"/>
    <s v=""/>
    <x v="3"/>
    <x v="2"/>
    <x v="0"/>
    <x v="11"/>
    <x v="3"/>
    <x v="7"/>
    <x v="0"/>
  </r>
  <r>
    <s v="TX501279"/>
    <x v="2"/>
    <x v="1"/>
    <n v="220.3"/>
    <n v="440.6"/>
    <d v="2025-02-18T00:00:00"/>
    <d v="2025-02-19T00:00:00"/>
    <s v="F"/>
    <x v="1"/>
    <x v="4"/>
    <x v="0"/>
    <x v="53"/>
    <x v="3"/>
    <x v="7"/>
    <x v="2"/>
  </r>
  <r>
    <s v="TX501280"/>
    <x v="8"/>
    <x v="2"/>
    <n v="45.7"/>
    <n v="137.10000000000002"/>
    <d v="2025-02-18T00:00:00"/>
    <d v="2025-02-19T00:00:00"/>
    <s v="F"/>
    <x v="4"/>
    <x v="0"/>
    <x v="0"/>
    <x v="30"/>
    <x v="3"/>
    <x v="7"/>
    <x v="2"/>
  </r>
  <r>
    <s v="TX501281"/>
    <x v="5"/>
    <x v="9"/>
    <n v="47.1"/>
    <n v="235.5"/>
    <d v="2025-02-18T00:00:00"/>
    <d v="2025-02-22T00:00:00"/>
    <s v="F"/>
    <x v="3"/>
    <x v="0"/>
    <x v="0"/>
    <x v="13"/>
    <x v="5"/>
    <x v="7"/>
    <x v="2"/>
  </r>
  <r>
    <s v="TX501282"/>
    <x v="1"/>
    <x v="9"/>
    <n v="81.7"/>
    <n v="408.5"/>
    <d v="2025-02-18T00:00:00"/>
    <d v="2025-02-19T00:00:00"/>
    <s v="F"/>
    <x v="0"/>
    <x v="2"/>
    <x v="0"/>
    <x v="21"/>
    <x v="3"/>
    <x v="7"/>
    <x v="2"/>
  </r>
  <r>
    <s v="TX501283"/>
    <x v="6"/>
    <x v="7"/>
    <n v="97.8"/>
    <n v="978"/>
    <d v="2025-02-18T00:00:00"/>
    <d v="2025-02-18T00:00:00"/>
    <s v="M"/>
    <x v="1"/>
    <x v="1"/>
    <x v="0"/>
    <x v="21"/>
    <x v="7"/>
    <x v="7"/>
    <x v="1"/>
  </r>
  <r>
    <s v="TX501284"/>
    <x v="6"/>
    <x v="2"/>
    <n v="42.4"/>
    <n v="127.19999999999999"/>
    <d v="2025-02-18T00:00:00"/>
    <d v="2025-02-19T00:00:00"/>
    <s v="F"/>
    <x v="0"/>
    <x v="2"/>
    <x v="0"/>
    <x v="54"/>
    <x v="3"/>
    <x v="7"/>
    <x v="2"/>
  </r>
  <r>
    <s v="TX501285"/>
    <x v="2"/>
    <x v="7"/>
    <n v="74.5"/>
    <n v="745"/>
    <d v="2025-02-18T00:00:00"/>
    <d v="2025-02-19T00:00:00"/>
    <s v="M"/>
    <x v="2"/>
    <x v="1"/>
    <x v="0"/>
    <x v="1"/>
    <x v="3"/>
    <x v="7"/>
    <x v="1"/>
  </r>
  <r>
    <s v="TX501286"/>
    <x v="17"/>
    <x v="13"/>
    <n v="47.4"/>
    <n v="284.39999999999998"/>
    <d v="2025-02-18T00:00:00"/>
    <d v="2025-02-19T00:00:00"/>
    <s v="M"/>
    <x v="1"/>
    <x v="0"/>
    <x v="0"/>
    <x v="1"/>
    <x v="3"/>
    <x v="7"/>
    <x v="1"/>
  </r>
  <r>
    <s v="TX501287"/>
    <x v="14"/>
    <x v="2"/>
    <n v="17.3"/>
    <n v="51.900000000000006"/>
    <d v="2025-02-19T00:00:00"/>
    <d v="2025-02-22T00:00:00"/>
    <s v="M"/>
    <x v="2"/>
    <x v="2"/>
    <x v="0"/>
    <x v="1"/>
    <x v="2"/>
    <x v="7"/>
    <x v="1"/>
  </r>
  <r>
    <s v="TX501288"/>
    <x v="12"/>
    <x v="12"/>
    <n v="77.900000000000006"/>
    <n v="311.60000000000002"/>
    <d v="2025-02-19T00:00:00"/>
    <d v="2025-02-20T00:00:00"/>
    <s v="M"/>
    <x v="1"/>
    <x v="0"/>
    <x v="0"/>
    <x v="2"/>
    <x v="3"/>
    <x v="7"/>
    <x v="1"/>
  </r>
  <r>
    <s v="TX501289"/>
    <x v="8"/>
    <x v="0"/>
    <n v="29.1"/>
    <n v="29.1"/>
    <d v="2025-02-19T00:00:00"/>
    <d v="2025-02-22T00:00:00"/>
    <s v="M"/>
    <x v="0"/>
    <x v="2"/>
    <x v="0"/>
    <x v="50"/>
    <x v="2"/>
    <x v="7"/>
    <x v="1"/>
  </r>
  <r>
    <s v="TX501290"/>
    <x v="8"/>
    <x v="0"/>
    <n v="49"/>
    <n v="49"/>
    <d v="2025-02-19T00:00:00"/>
    <d v="2025-02-20T00:00:00"/>
    <s v="M"/>
    <x v="1"/>
    <x v="0"/>
    <x v="0"/>
    <x v="3"/>
    <x v="3"/>
    <x v="7"/>
    <x v="1"/>
  </r>
  <r>
    <s v="TX501291"/>
    <x v="8"/>
    <x v="13"/>
    <n v="21.1"/>
    <n v="126.60000000000001"/>
    <d v="2025-02-19T00:00:00"/>
    <d v="2025-02-26T00:00:00"/>
    <s v="M"/>
    <x v="0"/>
    <x v="2"/>
    <x v="0"/>
    <x v="3"/>
    <x v="6"/>
    <x v="7"/>
    <x v="1"/>
  </r>
  <r>
    <s v="TX501292"/>
    <x v="4"/>
    <x v="10"/>
    <n v="36.9"/>
    <n v="701.1"/>
    <d v="2025-02-19T00:00:00"/>
    <d v="2025-02-19T00:00:00"/>
    <s v="F"/>
    <x v="0"/>
    <x v="0"/>
    <x v="0"/>
    <x v="3"/>
    <x v="7"/>
    <x v="7"/>
    <x v="2"/>
  </r>
  <r>
    <s v="TX501293"/>
    <x v="1"/>
    <x v="7"/>
    <n v="92.6"/>
    <n v="926"/>
    <d v="2025-02-19T00:00:00"/>
    <d v="2025-02-24T00:00:00"/>
    <s v="M"/>
    <x v="4"/>
    <x v="2"/>
    <x v="0"/>
    <x v="3"/>
    <x v="0"/>
    <x v="7"/>
    <x v="1"/>
  </r>
  <r>
    <s v="TX501294"/>
    <x v="10"/>
    <x v="1"/>
    <n v="38"/>
    <n v="76"/>
    <d v="2025-02-19T00:00:00"/>
    <d v="2025-02-20T00:00:00"/>
    <s v="M"/>
    <x v="1"/>
    <x v="1"/>
    <x v="0"/>
    <x v="3"/>
    <x v="3"/>
    <x v="7"/>
    <x v="1"/>
  </r>
  <r>
    <s v="TX501295"/>
    <x v="5"/>
    <x v="2"/>
    <n v="54.8"/>
    <n v="164.39999999999998"/>
    <d v="2025-02-19T00:00:00"/>
    <d v="2025-02-23T00:00:00"/>
    <s v=""/>
    <x v="0"/>
    <x v="1"/>
    <x v="0"/>
    <x v="3"/>
    <x v="5"/>
    <x v="7"/>
    <x v="0"/>
  </r>
  <r>
    <s v="TX501296"/>
    <x v="10"/>
    <x v="4"/>
    <n v="56.8"/>
    <n v="681.59999999999991"/>
    <d v="2025-02-19T00:00:00"/>
    <d v="2025-02-21T00:00:00"/>
    <s v="M"/>
    <x v="1"/>
    <x v="0"/>
    <x v="0"/>
    <x v="3"/>
    <x v="1"/>
    <x v="7"/>
    <x v="1"/>
  </r>
  <r>
    <s v="TX501297"/>
    <x v="11"/>
    <x v="40"/>
    <n v="47.2"/>
    <n v="1557.6000000000001"/>
    <d v="2025-02-19T00:00:00"/>
    <d v="2025-02-22T00:00:00"/>
    <s v="F"/>
    <x v="1"/>
    <x v="0"/>
    <x v="0"/>
    <x v="3"/>
    <x v="2"/>
    <x v="7"/>
    <x v="2"/>
  </r>
  <r>
    <s v="TX501298"/>
    <x v="7"/>
    <x v="13"/>
    <n v="45.1"/>
    <n v="270.60000000000002"/>
    <d v="2025-02-19T00:00:00"/>
    <d v="2025-02-20T00:00:00"/>
    <s v="F"/>
    <x v="2"/>
    <x v="0"/>
    <x v="0"/>
    <x v="43"/>
    <x v="3"/>
    <x v="7"/>
    <x v="2"/>
  </r>
  <r>
    <s v="TX501299"/>
    <x v="4"/>
    <x v="4"/>
    <n v="25.2"/>
    <n v="302.39999999999998"/>
    <d v="2025-02-19T00:00:00"/>
    <d v="2025-02-24T00:00:00"/>
    <s v="F"/>
    <x v="2"/>
    <x v="0"/>
    <x v="0"/>
    <x v="16"/>
    <x v="0"/>
    <x v="7"/>
    <x v="2"/>
  </r>
  <r>
    <s v="TX501300"/>
    <x v="8"/>
    <x v="0"/>
    <n v="22"/>
    <n v="22"/>
    <d v="2025-02-19T00:00:00"/>
    <d v="2025-02-20T00:00:00"/>
    <s v="F"/>
    <x v="0"/>
    <x v="0"/>
    <x v="0"/>
    <x v="5"/>
    <x v="3"/>
    <x v="7"/>
    <x v="2"/>
  </r>
  <r>
    <s v="TX501301"/>
    <x v="6"/>
    <x v="1"/>
    <n v="42.2"/>
    <n v="84.4"/>
    <d v="2025-02-19T00:00:00"/>
    <d v="2025-02-20T00:00:00"/>
    <s v="F"/>
    <x v="1"/>
    <x v="1"/>
    <x v="0"/>
    <x v="23"/>
    <x v="3"/>
    <x v="7"/>
    <x v="2"/>
  </r>
  <r>
    <s v="TX501302"/>
    <x v="13"/>
    <x v="2"/>
    <n v="20.5"/>
    <n v="61.5"/>
    <d v="2025-02-19T00:00:00"/>
    <d v="2025-02-20T00:00:00"/>
    <s v="M"/>
    <x v="0"/>
    <x v="1"/>
    <x v="0"/>
    <x v="6"/>
    <x v="3"/>
    <x v="7"/>
    <x v="1"/>
  </r>
  <r>
    <s v="TX501303"/>
    <x v="2"/>
    <x v="0"/>
    <n v="190.4"/>
    <n v="190.4"/>
    <d v="2025-02-19T00:00:00"/>
    <d v="2025-02-24T00:00:00"/>
    <s v="M"/>
    <x v="1"/>
    <x v="4"/>
    <x v="0"/>
    <x v="6"/>
    <x v="0"/>
    <x v="7"/>
    <x v="1"/>
  </r>
  <r>
    <s v="TX501304"/>
    <x v="2"/>
    <x v="0"/>
    <n v="121.9"/>
    <n v="121.9"/>
    <d v="2025-02-19T00:00:00"/>
    <d v="2025-02-21T00:00:00"/>
    <s v="F"/>
    <x v="1"/>
    <x v="2"/>
    <x v="0"/>
    <x v="6"/>
    <x v="1"/>
    <x v="7"/>
    <x v="2"/>
  </r>
  <r>
    <s v="TX501305"/>
    <x v="2"/>
    <x v="13"/>
    <n v="149.19999999999999"/>
    <n v="895.19999999999993"/>
    <d v="2025-02-19T00:00:00"/>
    <d v="2025-02-20T00:00:00"/>
    <s v="F"/>
    <x v="2"/>
    <x v="2"/>
    <x v="0"/>
    <x v="7"/>
    <x v="3"/>
    <x v="7"/>
    <x v="2"/>
  </r>
  <r>
    <s v="TX501306"/>
    <x v="2"/>
    <x v="0"/>
    <n v="54.1"/>
    <n v="54.1"/>
    <d v="2025-02-19T00:00:00"/>
    <d v="2025-02-28T00:00:00"/>
    <s v="F"/>
    <x v="2"/>
    <x v="2"/>
    <x v="0"/>
    <x v="7"/>
    <x v="8"/>
    <x v="7"/>
    <x v="2"/>
  </r>
  <r>
    <s v="TX501307"/>
    <x v="5"/>
    <x v="1"/>
    <n v="27.4"/>
    <n v="54.8"/>
    <d v="2025-02-19T00:00:00"/>
    <d v="2025-02-21T00:00:00"/>
    <s v="M"/>
    <x v="1"/>
    <x v="0"/>
    <x v="0"/>
    <x v="8"/>
    <x v="1"/>
    <x v="7"/>
    <x v="1"/>
  </r>
  <r>
    <s v="TX501308"/>
    <x v="0"/>
    <x v="15"/>
    <n v="30.4"/>
    <n v="395.2"/>
    <d v="2025-02-19T00:00:00"/>
    <d v="2025-02-20T00:00:00"/>
    <s v="F"/>
    <x v="0"/>
    <x v="2"/>
    <x v="0"/>
    <x v="8"/>
    <x v="3"/>
    <x v="7"/>
    <x v="2"/>
  </r>
  <r>
    <s v="TX501309"/>
    <x v="12"/>
    <x v="2"/>
    <n v="46.2"/>
    <n v="138.60000000000002"/>
    <d v="2025-02-19T00:00:00"/>
    <d v="2025-02-21T00:00:00"/>
    <s v="M"/>
    <x v="2"/>
    <x v="1"/>
    <x v="0"/>
    <x v="17"/>
    <x v="1"/>
    <x v="7"/>
    <x v="1"/>
  </r>
  <r>
    <s v="TX501310"/>
    <x v="7"/>
    <x v="8"/>
    <n v="78.599999999999994"/>
    <n v="628.79999999999995"/>
    <d v="2025-02-19T00:00:00"/>
    <d v="2025-02-23T00:00:00"/>
    <s v="M"/>
    <x v="3"/>
    <x v="0"/>
    <x v="0"/>
    <x v="17"/>
    <x v="5"/>
    <x v="7"/>
    <x v="1"/>
  </r>
  <r>
    <s v="TX501311"/>
    <x v="17"/>
    <x v="7"/>
    <n v="25.9"/>
    <n v="259"/>
    <d v="2025-02-19T00:00:00"/>
    <d v="2025-02-25T00:00:00"/>
    <s v="M"/>
    <x v="4"/>
    <x v="0"/>
    <x v="0"/>
    <x v="9"/>
    <x v="4"/>
    <x v="7"/>
    <x v="1"/>
  </r>
  <r>
    <s v="TX501312"/>
    <x v="6"/>
    <x v="0"/>
    <n v="134.80000000000001"/>
    <n v="134.80000000000001"/>
    <d v="2025-02-19T00:00:00"/>
    <d v="2025-02-21T00:00:00"/>
    <s v="M"/>
    <x v="2"/>
    <x v="2"/>
    <x v="0"/>
    <x v="9"/>
    <x v="1"/>
    <x v="7"/>
    <x v="1"/>
  </r>
  <r>
    <s v="TX501313"/>
    <x v="15"/>
    <x v="9"/>
    <n v="43.1"/>
    <n v="215.5"/>
    <d v="2025-02-19T00:00:00"/>
    <d v="2025-02-21T00:00:00"/>
    <s v="F"/>
    <x v="0"/>
    <x v="0"/>
    <x v="0"/>
    <x v="11"/>
    <x v="1"/>
    <x v="7"/>
    <x v="2"/>
  </r>
  <r>
    <s v="TX501314"/>
    <x v="2"/>
    <x v="1"/>
    <n v="215.6"/>
    <n v="431.2"/>
    <d v="2025-02-19T00:00:00"/>
    <d v="2025-02-20T00:00:00"/>
    <s v="F"/>
    <x v="2"/>
    <x v="0"/>
    <x v="0"/>
    <x v="18"/>
    <x v="3"/>
    <x v="7"/>
    <x v="2"/>
  </r>
  <r>
    <s v="TX501315"/>
    <x v="6"/>
    <x v="1"/>
    <n v="80.7"/>
    <n v="161.4"/>
    <d v="2025-02-19T00:00:00"/>
    <d v="2025-02-22T00:00:00"/>
    <s v="F"/>
    <x v="3"/>
    <x v="0"/>
    <x v="0"/>
    <x v="18"/>
    <x v="2"/>
    <x v="7"/>
    <x v="2"/>
  </r>
  <r>
    <s v="TX501316"/>
    <x v="10"/>
    <x v="3"/>
    <n v="20.6"/>
    <n v="144.20000000000002"/>
    <d v="2025-02-19T00:00:00"/>
    <d v="2025-02-24T00:00:00"/>
    <s v=""/>
    <x v="2"/>
    <x v="1"/>
    <x v="0"/>
    <x v="19"/>
    <x v="0"/>
    <x v="7"/>
    <x v="0"/>
  </r>
  <r>
    <s v="TX501317"/>
    <x v="12"/>
    <x v="2"/>
    <n v="37.1"/>
    <n v="111.30000000000001"/>
    <d v="2025-02-19T00:00:00"/>
    <d v="2025-02-20T00:00:00"/>
    <s v="F"/>
    <x v="0"/>
    <x v="0"/>
    <x v="0"/>
    <x v="52"/>
    <x v="3"/>
    <x v="7"/>
    <x v="2"/>
  </r>
  <r>
    <s v="TX501318"/>
    <x v="12"/>
    <x v="0"/>
    <n v="104.8"/>
    <n v="104.8"/>
    <d v="2025-02-20T00:00:00"/>
    <d v="2025-02-22T00:00:00"/>
    <s v="F"/>
    <x v="0"/>
    <x v="0"/>
    <x v="0"/>
    <x v="13"/>
    <x v="1"/>
    <x v="7"/>
    <x v="2"/>
  </r>
  <r>
    <s v="TX501319"/>
    <x v="8"/>
    <x v="1"/>
    <n v="59"/>
    <n v="118"/>
    <d v="2025-02-20T00:00:00"/>
    <d v="2025-02-21T00:00:00"/>
    <s v="M"/>
    <x v="1"/>
    <x v="0"/>
    <x v="0"/>
    <x v="21"/>
    <x v="3"/>
    <x v="7"/>
    <x v="1"/>
  </r>
  <r>
    <s v="TX501320"/>
    <x v="8"/>
    <x v="1"/>
    <n v="32.299999999999997"/>
    <n v="64.599999999999994"/>
    <d v="2025-02-20T00:00:00"/>
    <d v="2025-02-21T00:00:00"/>
    <s v="M"/>
    <x v="0"/>
    <x v="2"/>
    <x v="0"/>
    <x v="21"/>
    <x v="3"/>
    <x v="7"/>
    <x v="1"/>
  </r>
  <r>
    <s v="TX501321"/>
    <x v="8"/>
    <x v="12"/>
    <n v="28.9"/>
    <n v="115.6"/>
    <d v="2025-02-20T00:00:00"/>
    <d v="2025-02-27T00:00:00"/>
    <s v="M"/>
    <x v="0"/>
    <x v="0"/>
    <x v="0"/>
    <x v="1"/>
    <x v="6"/>
    <x v="7"/>
    <x v="1"/>
  </r>
  <r>
    <s v="TX501322"/>
    <x v="0"/>
    <x v="1"/>
    <n v="29.6"/>
    <n v="59.2"/>
    <d v="2025-02-20T00:00:00"/>
    <d v="2025-02-22T00:00:00"/>
    <s v="M"/>
    <x v="0"/>
    <x v="0"/>
    <x v="0"/>
    <x v="1"/>
    <x v="1"/>
    <x v="7"/>
    <x v="1"/>
  </r>
  <r>
    <s v="TX501323"/>
    <x v="0"/>
    <x v="9"/>
    <n v="29.4"/>
    <n v="147"/>
    <d v="2025-02-20T00:00:00"/>
    <d v="2025-02-23T00:00:00"/>
    <s v="F"/>
    <x v="0"/>
    <x v="0"/>
    <x v="0"/>
    <x v="1"/>
    <x v="2"/>
    <x v="7"/>
    <x v="2"/>
  </r>
  <r>
    <s v="TX501324"/>
    <x v="1"/>
    <x v="1"/>
    <n v="40.6"/>
    <n v="81.2"/>
    <d v="2025-02-20T00:00:00"/>
    <d v="2025-02-21T00:00:00"/>
    <s v="M"/>
    <x v="0"/>
    <x v="4"/>
    <x v="0"/>
    <x v="2"/>
    <x v="3"/>
    <x v="7"/>
    <x v="1"/>
  </r>
  <r>
    <s v="TX501325"/>
    <x v="0"/>
    <x v="2"/>
    <n v="32.5"/>
    <n v="97.5"/>
    <d v="2025-02-20T00:00:00"/>
    <d v="2025-02-21T00:00:00"/>
    <s v="M"/>
    <x v="3"/>
    <x v="2"/>
    <x v="0"/>
    <x v="22"/>
    <x v="3"/>
    <x v="7"/>
    <x v="1"/>
  </r>
  <r>
    <s v="TX501326"/>
    <x v="15"/>
    <x v="0"/>
    <n v="26.2"/>
    <n v="26.2"/>
    <d v="2025-02-20T00:00:00"/>
    <d v="2025-02-22T00:00:00"/>
    <s v="M"/>
    <x v="2"/>
    <x v="0"/>
    <x v="0"/>
    <x v="55"/>
    <x v="1"/>
    <x v="7"/>
    <x v="1"/>
  </r>
  <r>
    <s v="TX501327"/>
    <x v="10"/>
    <x v="17"/>
    <n v="44"/>
    <n v="1320"/>
    <d v="2025-02-20T00:00:00"/>
    <d v="2025-02-26T00:00:00"/>
    <s v="M"/>
    <x v="4"/>
    <x v="0"/>
    <x v="0"/>
    <x v="3"/>
    <x v="4"/>
    <x v="7"/>
    <x v="1"/>
  </r>
  <r>
    <s v="TX501328"/>
    <x v="7"/>
    <x v="12"/>
    <n v="65.599999999999994"/>
    <n v="262.39999999999998"/>
    <d v="2025-02-20T00:00:00"/>
    <d v="2025-02-21T00:00:00"/>
    <s v="F"/>
    <x v="1"/>
    <x v="1"/>
    <x v="0"/>
    <x v="3"/>
    <x v="3"/>
    <x v="7"/>
    <x v="2"/>
  </r>
  <r>
    <s v="TX501329"/>
    <x v="5"/>
    <x v="4"/>
    <n v="32.6"/>
    <n v="391.20000000000005"/>
    <d v="2025-02-20T00:00:00"/>
    <d v="2025-02-21T00:00:00"/>
    <s v="M"/>
    <x v="4"/>
    <x v="0"/>
    <x v="0"/>
    <x v="3"/>
    <x v="3"/>
    <x v="7"/>
    <x v="1"/>
  </r>
  <r>
    <s v="TX501330"/>
    <x v="16"/>
    <x v="1"/>
    <n v="88.7"/>
    <n v="177.4"/>
    <d v="2025-02-20T00:00:00"/>
    <d v="2025-02-21T00:00:00"/>
    <s v=""/>
    <x v="3"/>
    <x v="2"/>
    <x v="0"/>
    <x v="3"/>
    <x v="3"/>
    <x v="7"/>
    <x v="0"/>
  </r>
  <r>
    <s v="TX501331"/>
    <x v="4"/>
    <x v="1"/>
    <n v="21.3"/>
    <n v="42.6"/>
    <d v="2025-02-20T00:00:00"/>
    <d v="2025-02-21T00:00:00"/>
    <s v="M"/>
    <x v="0"/>
    <x v="0"/>
    <x v="0"/>
    <x v="3"/>
    <x v="3"/>
    <x v="7"/>
    <x v="1"/>
  </r>
  <r>
    <s v="TX501332"/>
    <x v="4"/>
    <x v="13"/>
    <n v="50.6"/>
    <n v="303.60000000000002"/>
    <d v="2025-02-20T00:00:00"/>
    <d v="2025-02-24T00:00:00"/>
    <s v="F"/>
    <x v="2"/>
    <x v="0"/>
    <x v="0"/>
    <x v="3"/>
    <x v="5"/>
    <x v="7"/>
    <x v="2"/>
  </r>
  <r>
    <s v="TX501333"/>
    <x v="9"/>
    <x v="38"/>
    <n v="86.9"/>
    <n v="1824.9"/>
    <d v="2025-02-20T00:00:00"/>
    <d v="2025-02-23T00:00:00"/>
    <s v="F"/>
    <x v="0"/>
    <x v="1"/>
    <x v="0"/>
    <x v="3"/>
    <x v="2"/>
    <x v="7"/>
    <x v="2"/>
  </r>
  <r>
    <s v="TX501334"/>
    <x v="11"/>
    <x v="2"/>
    <n v="31.8"/>
    <n v="95.4"/>
    <d v="2025-02-20T00:00:00"/>
    <d v="2025-02-22T00:00:00"/>
    <s v="M"/>
    <x v="0"/>
    <x v="2"/>
    <x v="0"/>
    <x v="3"/>
    <x v="1"/>
    <x v="7"/>
    <x v="1"/>
  </r>
  <r>
    <s v="TX501335"/>
    <x v="8"/>
    <x v="0"/>
    <n v="19"/>
    <n v="19"/>
    <d v="2025-02-20T00:00:00"/>
    <d v="2025-02-21T00:00:00"/>
    <s v="F"/>
    <x v="0"/>
    <x v="2"/>
    <x v="0"/>
    <x v="3"/>
    <x v="3"/>
    <x v="7"/>
    <x v="2"/>
  </r>
  <r>
    <s v="TX501336"/>
    <x v="5"/>
    <x v="0"/>
    <n v="54.5"/>
    <n v="54.5"/>
    <d v="2025-02-20T00:00:00"/>
    <d v="2025-02-22T00:00:00"/>
    <s v="M"/>
    <x v="0"/>
    <x v="0"/>
    <x v="0"/>
    <x v="3"/>
    <x v="1"/>
    <x v="7"/>
    <x v="1"/>
  </r>
  <r>
    <s v="TX501337"/>
    <x v="9"/>
    <x v="9"/>
    <n v="68.900000000000006"/>
    <n v="344.5"/>
    <d v="2025-02-20T00:00:00"/>
    <d v="2025-02-22T00:00:00"/>
    <s v="M"/>
    <x v="4"/>
    <x v="1"/>
    <x v="0"/>
    <x v="3"/>
    <x v="1"/>
    <x v="7"/>
    <x v="1"/>
  </r>
  <r>
    <s v="TX501338"/>
    <x v="6"/>
    <x v="2"/>
    <n v="84"/>
    <n v="252"/>
    <d v="2025-02-20T00:00:00"/>
    <d v="2025-02-21T00:00:00"/>
    <s v="M"/>
    <x v="1"/>
    <x v="4"/>
    <x v="0"/>
    <x v="16"/>
    <x v="3"/>
    <x v="7"/>
    <x v="1"/>
  </r>
  <r>
    <s v="TX501339"/>
    <x v="15"/>
    <x v="8"/>
    <n v="23.1"/>
    <n v="184.8"/>
    <d v="2025-02-20T00:00:00"/>
    <d v="2025-02-25T00:00:00"/>
    <s v="M"/>
    <x v="0"/>
    <x v="2"/>
    <x v="0"/>
    <x v="23"/>
    <x v="0"/>
    <x v="7"/>
    <x v="1"/>
  </r>
  <r>
    <s v="TX501340"/>
    <x v="7"/>
    <x v="1"/>
    <n v="62.4"/>
    <n v="124.8"/>
    <d v="2025-02-20T00:00:00"/>
    <d v="2025-02-21T00:00:00"/>
    <s v="F"/>
    <x v="0"/>
    <x v="1"/>
    <x v="0"/>
    <x v="6"/>
    <x v="3"/>
    <x v="7"/>
    <x v="2"/>
  </r>
  <r>
    <s v="TX501341"/>
    <x v="6"/>
    <x v="4"/>
    <n v="40.700000000000003"/>
    <n v="488.40000000000003"/>
    <d v="2025-02-20T00:00:00"/>
    <d v="2025-02-22T00:00:00"/>
    <s v="M"/>
    <x v="1"/>
    <x v="2"/>
    <x v="0"/>
    <x v="6"/>
    <x v="1"/>
    <x v="7"/>
    <x v="1"/>
  </r>
  <r>
    <s v="TX501342"/>
    <x v="6"/>
    <x v="0"/>
    <n v="49.6"/>
    <n v="49.6"/>
    <d v="2025-02-20T00:00:00"/>
    <d v="2025-02-23T00:00:00"/>
    <s v="M"/>
    <x v="2"/>
    <x v="0"/>
    <x v="0"/>
    <x v="7"/>
    <x v="2"/>
    <x v="7"/>
    <x v="1"/>
  </r>
  <r>
    <s v="TX501343"/>
    <x v="7"/>
    <x v="41"/>
    <n v="66.599999999999994"/>
    <n v="2996.9999999999995"/>
    <d v="2025-02-20T00:00:00"/>
    <d v="2025-02-23T00:00:00"/>
    <s v="M"/>
    <x v="2"/>
    <x v="0"/>
    <x v="0"/>
    <x v="8"/>
    <x v="2"/>
    <x v="7"/>
    <x v="1"/>
  </r>
  <r>
    <s v="TX501344"/>
    <x v="8"/>
    <x v="2"/>
    <n v="26.4"/>
    <n v="79.199999999999989"/>
    <d v="2025-02-20T00:00:00"/>
    <d v="2025-02-21T00:00:00"/>
    <s v="F"/>
    <x v="1"/>
    <x v="1"/>
    <x v="0"/>
    <x v="8"/>
    <x v="3"/>
    <x v="7"/>
    <x v="2"/>
  </r>
  <r>
    <s v="TX501345"/>
    <x v="0"/>
    <x v="1"/>
    <n v="17.2"/>
    <n v="34.4"/>
    <d v="2025-02-20T00:00:00"/>
    <d v="2025-02-23T00:00:00"/>
    <s v="M"/>
    <x v="2"/>
    <x v="1"/>
    <x v="0"/>
    <x v="8"/>
    <x v="2"/>
    <x v="7"/>
    <x v="1"/>
  </r>
  <r>
    <s v="TX501346"/>
    <x v="5"/>
    <x v="8"/>
    <n v="58.1"/>
    <n v="464.8"/>
    <d v="2025-02-20T00:00:00"/>
    <d v="2025-02-23T00:00:00"/>
    <s v="F"/>
    <x v="4"/>
    <x v="0"/>
    <x v="0"/>
    <x v="8"/>
    <x v="2"/>
    <x v="7"/>
    <x v="2"/>
  </r>
  <r>
    <s v="TX501347"/>
    <x v="15"/>
    <x v="12"/>
    <n v="31.5"/>
    <n v="126"/>
    <d v="2025-02-20T00:00:00"/>
    <d v="2025-02-23T00:00:00"/>
    <s v="F"/>
    <x v="4"/>
    <x v="4"/>
    <x v="0"/>
    <x v="8"/>
    <x v="2"/>
    <x v="7"/>
    <x v="2"/>
  </r>
  <r>
    <s v="TX501348"/>
    <x v="0"/>
    <x v="0"/>
    <n v="27.1"/>
    <n v="27.1"/>
    <d v="2025-02-20T00:00:00"/>
    <d v="2025-02-22T00:00:00"/>
    <s v="F"/>
    <x v="0"/>
    <x v="1"/>
    <x v="0"/>
    <x v="17"/>
    <x v="1"/>
    <x v="7"/>
    <x v="2"/>
  </r>
  <r>
    <s v="TX501349"/>
    <x v="18"/>
    <x v="12"/>
    <n v="28.5"/>
    <n v="114"/>
    <d v="2025-02-20T00:00:00"/>
    <d v="2025-02-22T00:00:00"/>
    <s v="M"/>
    <x v="1"/>
    <x v="2"/>
    <x v="0"/>
    <x v="9"/>
    <x v="1"/>
    <x v="7"/>
    <x v="1"/>
  </r>
  <r>
    <s v="TX501350"/>
    <x v="10"/>
    <x v="0"/>
    <n v="40.5"/>
    <n v="40.5"/>
    <d v="2025-02-21T00:00:00"/>
    <d v="2025-02-23T00:00:00"/>
    <s v="O"/>
    <x v="2"/>
    <x v="0"/>
    <x v="0"/>
    <x v="9"/>
    <x v="1"/>
    <x v="7"/>
    <x v="3"/>
  </r>
  <r>
    <s v="TX501351"/>
    <x v="2"/>
    <x v="2"/>
    <n v="77.900000000000006"/>
    <n v="233.70000000000002"/>
    <d v="2025-02-21T00:00:00"/>
    <d v="2025-02-25T00:00:00"/>
    <s v="F"/>
    <x v="1"/>
    <x v="2"/>
    <x v="0"/>
    <x v="19"/>
    <x v="5"/>
    <x v="7"/>
    <x v="2"/>
  </r>
  <r>
    <s v="TX501352"/>
    <x v="18"/>
    <x v="12"/>
    <n v="37.1"/>
    <n v="148.4"/>
    <d v="2025-02-21T00:00:00"/>
    <d v="2025-02-23T00:00:00"/>
    <s v="M"/>
    <x v="4"/>
    <x v="2"/>
    <x v="0"/>
    <x v="19"/>
    <x v="1"/>
    <x v="7"/>
    <x v="1"/>
  </r>
  <r>
    <s v="TX501353"/>
    <x v="16"/>
    <x v="2"/>
    <n v="51.6"/>
    <n v="154.80000000000001"/>
    <d v="2025-02-21T00:00:00"/>
    <d v="2025-03-01T00:00:00"/>
    <s v="F"/>
    <x v="0"/>
    <x v="4"/>
    <x v="0"/>
    <x v="19"/>
    <x v="9"/>
    <x v="7"/>
    <x v="2"/>
  </r>
  <r>
    <s v="TX501354"/>
    <x v="7"/>
    <x v="2"/>
    <n v="98"/>
    <n v="294"/>
    <d v="2025-02-21T00:00:00"/>
    <d v="2025-02-22T00:00:00"/>
    <s v="M"/>
    <x v="1"/>
    <x v="1"/>
    <x v="0"/>
    <x v="19"/>
    <x v="3"/>
    <x v="7"/>
    <x v="1"/>
  </r>
  <r>
    <s v="TX501355"/>
    <x v="6"/>
    <x v="3"/>
    <n v="41.4"/>
    <n v="289.8"/>
    <d v="2025-02-21T00:00:00"/>
    <d v="2025-02-22T00:00:00"/>
    <s v="M"/>
    <x v="1"/>
    <x v="0"/>
    <x v="0"/>
    <x v="20"/>
    <x v="3"/>
    <x v="7"/>
    <x v="1"/>
  </r>
  <r>
    <s v="TX501356"/>
    <x v="11"/>
    <x v="8"/>
    <n v="34"/>
    <n v="272"/>
    <d v="2025-02-21T00:00:00"/>
    <d v="2025-02-26T00:00:00"/>
    <s v="F"/>
    <x v="0"/>
    <x v="2"/>
    <x v="0"/>
    <x v="52"/>
    <x v="0"/>
    <x v="7"/>
    <x v="2"/>
  </r>
  <r>
    <s v="TX501357"/>
    <x v="6"/>
    <x v="0"/>
    <n v="66.3"/>
    <n v="66.3"/>
    <d v="2025-02-21T00:00:00"/>
    <d v="2025-02-22T00:00:00"/>
    <s v="F"/>
    <x v="1"/>
    <x v="0"/>
    <x v="0"/>
    <x v="13"/>
    <x v="3"/>
    <x v="7"/>
    <x v="2"/>
  </r>
  <r>
    <s v="TX501358"/>
    <x v="7"/>
    <x v="0"/>
    <n v="33.5"/>
    <n v="33.5"/>
    <d v="2025-02-21T00:00:00"/>
    <d v="2025-02-25T00:00:00"/>
    <s v="M"/>
    <x v="2"/>
    <x v="0"/>
    <x v="0"/>
    <x v="13"/>
    <x v="5"/>
    <x v="7"/>
    <x v="1"/>
  </r>
  <r>
    <s v="TX501359"/>
    <x v="12"/>
    <x v="1"/>
    <n v="70.8"/>
    <n v="141.6"/>
    <d v="2025-02-21T00:00:00"/>
    <d v="2025-02-22T00:00:00"/>
    <s v=""/>
    <x v="0"/>
    <x v="0"/>
    <x v="0"/>
    <x v="28"/>
    <x v="3"/>
    <x v="7"/>
    <x v="0"/>
  </r>
  <r>
    <s v="TX501360"/>
    <x v="6"/>
    <x v="1"/>
    <n v="127.6"/>
    <n v="255.2"/>
    <d v="2025-02-21T00:00:00"/>
    <d v="2025-02-22T00:00:00"/>
    <s v="M"/>
    <x v="0"/>
    <x v="0"/>
    <x v="0"/>
    <x v="21"/>
    <x v="3"/>
    <x v="7"/>
    <x v="1"/>
  </r>
  <r>
    <s v="TX501361"/>
    <x v="6"/>
    <x v="2"/>
    <n v="95.9"/>
    <n v="287.70000000000005"/>
    <d v="2025-02-21T00:00:00"/>
    <d v="2025-02-22T00:00:00"/>
    <s v="F"/>
    <x v="1"/>
    <x v="1"/>
    <x v="0"/>
    <x v="21"/>
    <x v="3"/>
    <x v="7"/>
    <x v="2"/>
  </r>
  <r>
    <s v="TX501362"/>
    <x v="2"/>
    <x v="1"/>
    <n v="78.099999999999994"/>
    <n v="156.19999999999999"/>
    <d v="2025-02-21T00:00:00"/>
    <d v="2025-02-22T00:00:00"/>
    <s v="M"/>
    <x v="0"/>
    <x v="0"/>
    <x v="0"/>
    <x v="1"/>
    <x v="3"/>
    <x v="7"/>
    <x v="1"/>
  </r>
  <r>
    <s v="TX501363"/>
    <x v="13"/>
    <x v="1"/>
    <n v="43.2"/>
    <n v="86.4"/>
    <d v="2025-02-21T00:00:00"/>
    <d v="2025-02-22T00:00:00"/>
    <s v=""/>
    <x v="1"/>
    <x v="1"/>
    <x v="0"/>
    <x v="1"/>
    <x v="3"/>
    <x v="7"/>
    <x v="0"/>
  </r>
  <r>
    <s v="TX501364"/>
    <x v="8"/>
    <x v="12"/>
    <n v="28.4"/>
    <n v="113.6"/>
    <d v="2025-02-21T00:00:00"/>
    <d v="2025-02-27T00:00:00"/>
    <s v="M"/>
    <x v="2"/>
    <x v="0"/>
    <x v="0"/>
    <x v="3"/>
    <x v="4"/>
    <x v="7"/>
    <x v="1"/>
  </r>
  <r>
    <s v="TX501365"/>
    <x v="2"/>
    <x v="1"/>
    <n v="81.7"/>
    <n v="163.4"/>
    <d v="2025-02-21T00:00:00"/>
    <d v="2025-02-21T00:00:00"/>
    <s v="M"/>
    <x v="0"/>
    <x v="0"/>
    <x v="0"/>
    <x v="3"/>
    <x v="7"/>
    <x v="7"/>
    <x v="1"/>
  </r>
  <r>
    <s v="TX501366"/>
    <x v="18"/>
    <x v="1"/>
    <n v="56.7"/>
    <n v="113.4"/>
    <d v="2025-02-21T00:00:00"/>
    <d v="2025-02-23T00:00:00"/>
    <s v=""/>
    <x v="0"/>
    <x v="2"/>
    <x v="0"/>
    <x v="3"/>
    <x v="1"/>
    <x v="7"/>
    <x v="0"/>
  </r>
  <r>
    <s v="TX501367"/>
    <x v="3"/>
    <x v="12"/>
    <n v="66.5"/>
    <n v="266"/>
    <d v="2025-02-21T00:00:00"/>
    <d v="2025-02-21T00:00:00"/>
    <s v="F"/>
    <x v="0"/>
    <x v="2"/>
    <x v="0"/>
    <x v="3"/>
    <x v="7"/>
    <x v="7"/>
    <x v="2"/>
  </r>
  <r>
    <s v="TX501368"/>
    <x v="1"/>
    <x v="1"/>
    <n v="105.3"/>
    <n v="210.6"/>
    <d v="2025-02-21T00:00:00"/>
    <d v="2025-02-25T00:00:00"/>
    <s v="M"/>
    <x v="0"/>
    <x v="1"/>
    <x v="0"/>
    <x v="3"/>
    <x v="5"/>
    <x v="7"/>
    <x v="1"/>
  </r>
  <r>
    <s v="TX501369"/>
    <x v="10"/>
    <x v="9"/>
    <n v="33.799999999999997"/>
    <n v="169"/>
    <d v="2025-02-21T00:00:00"/>
    <d v="2025-02-26T00:00:00"/>
    <s v="M"/>
    <x v="0"/>
    <x v="0"/>
    <x v="0"/>
    <x v="3"/>
    <x v="0"/>
    <x v="7"/>
    <x v="1"/>
  </r>
  <r>
    <s v="TX501370"/>
    <x v="6"/>
    <x v="2"/>
    <n v="63.4"/>
    <n v="190.2"/>
    <d v="2025-02-21T00:00:00"/>
    <d v="2025-02-26T00:00:00"/>
    <s v="M"/>
    <x v="3"/>
    <x v="1"/>
    <x v="0"/>
    <x v="24"/>
    <x v="0"/>
    <x v="7"/>
    <x v="1"/>
  </r>
  <r>
    <s v="TX501371"/>
    <x v="6"/>
    <x v="2"/>
    <n v="49"/>
    <n v="147"/>
    <d v="2025-02-21T00:00:00"/>
    <d v="2025-02-25T00:00:00"/>
    <s v="M"/>
    <x v="3"/>
    <x v="0"/>
    <x v="0"/>
    <x v="49"/>
    <x v="5"/>
    <x v="7"/>
    <x v="1"/>
  </r>
  <r>
    <s v="TX501372"/>
    <x v="1"/>
    <x v="1"/>
    <n v="40"/>
    <n v="80"/>
    <d v="2025-02-21T00:00:00"/>
    <d v="2025-02-22T00:00:00"/>
    <s v="F"/>
    <x v="4"/>
    <x v="1"/>
    <x v="0"/>
    <x v="23"/>
    <x v="3"/>
    <x v="7"/>
    <x v="2"/>
  </r>
  <r>
    <s v="TX501373"/>
    <x v="6"/>
    <x v="12"/>
    <n v="86.3"/>
    <n v="345.2"/>
    <d v="2025-02-21T00:00:00"/>
    <d v="2025-02-22T00:00:00"/>
    <s v="O"/>
    <x v="0"/>
    <x v="0"/>
    <x v="0"/>
    <x v="6"/>
    <x v="3"/>
    <x v="7"/>
    <x v="3"/>
  </r>
  <r>
    <s v="TX501374"/>
    <x v="6"/>
    <x v="0"/>
    <n v="51.6"/>
    <n v="51.6"/>
    <d v="2025-02-21T00:00:00"/>
    <d v="2025-02-23T00:00:00"/>
    <s v="F"/>
    <x v="2"/>
    <x v="2"/>
    <x v="0"/>
    <x v="6"/>
    <x v="1"/>
    <x v="7"/>
    <x v="2"/>
  </r>
  <r>
    <s v="TX501375"/>
    <x v="10"/>
    <x v="2"/>
    <n v="26.7"/>
    <n v="80.099999999999994"/>
    <d v="2025-02-21T00:00:00"/>
    <d v="2025-02-26T00:00:00"/>
    <s v="F"/>
    <x v="2"/>
    <x v="1"/>
    <x v="0"/>
    <x v="6"/>
    <x v="0"/>
    <x v="7"/>
    <x v="2"/>
  </r>
  <r>
    <s v="TX501376"/>
    <x v="18"/>
    <x v="1"/>
    <n v="68.099999999999994"/>
    <n v="136.19999999999999"/>
    <d v="2025-02-21T00:00:00"/>
    <d v="2025-02-22T00:00:00"/>
    <s v="M"/>
    <x v="0"/>
    <x v="1"/>
    <x v="0"/>
    <x v="6"/>
    <x v="3"/>
    <x v="7"/>
    <x v="1"/>
  </r>
  <r>
    <s v="TX501377"/>
    <x v="1"/>
    <x v="0"/>
    <n v="81.7"/>
    <n v="81.7"/>
    <d v="2025-02-21T00:00:00"/>
    <d v="2025-02-22T00:00:00"/>
    <s v="M"/>
    <x v="0"/>
    <x v="0"/>
    <x v="0"/>
    <x v="7"/>
    <x v="3"/>
    <x v="7"/>
    <x v="1"/>
  </r>
  <r>
    <s v="TX501378"/>
    <x v="18"/>
    <x v="7"/>
    <n v="25.1"/>
    <n v="251"/>
    <d v="2025-02-21T00:00:00"/>
    <d v="2025-02-24T00:00:00"/>
    <s v="M"/>
    <x v="3"/>
    <x v="1"/>
    <x v="0"/>
    <x v="8"/>
    <x v="2"/>
    <x v="7"/>
    <x v="1"/>
  </r>
  <r>
    <s v="TX501379"/>
    <x v="8"/>
    <x v="0"/>
    <n v="20.2"/>
    <n v="20.2"/>
    <d v="2025-02-21T00:00:00"/>
    <d v="2025-02-25T00:00:00"/>
    <s v="F"/>
    <x v="0"/>
    <x v="0"/>
    <x v="0"/>
    <x v="8"/>
    <x v="5"/>
    <x v="7"/>
    <x v="2"/>
  </r>
  <r>
    <s v="TX501380"/>
    <x v="8"/>
    <x v="2"/>
    <n v="15.4"/>
    <n v="46.2"/>
    <d v="2025-02-21T00:00:00"/>
    <d v="2025-02-22T00:00:00"/>
    <s v="M"/>
    <x v="1"/>
    <x v="2"/>
    <x v="0"/>
    <x v="8"/>
    <x v="3"/>
    <x v="7"/>
    <x v="1"/>
  </r>
  <r>
    <s v="TX501381"/>
    <x v="10"/>
    <x v="0"/>
    <n v="59.2"/>
    <n v="59.2"/>
    <d v="2025-02-21T00:00:00"/>
    <d v="2025-02-22T00:00:00"/>
    <s v="M"/>
    <x v="2"/>
    <x v="2"/>
    <x v="0"/>
    <x v="17"/>
    <x v="3"/>
    <x v="7"/>
    <x v="1"/>
  </r>
  <r>
    <s v="TX501382"/>
    <x v="0"/>
    <x v="0"/>
    <n v="46.7"/>
    <n v="46.7"/>
    <d v="2025-02-21T00:00:00"/>
    <d v="2025-02-26T00:00:00"/>
    <s v="M"/>
    <x v="0"/>
    <x v="0"/>
    <x v="0"/>
    <x v="17"/>
    <x v="0"/>
    <x v="7"/>
    <x v="1"/>
  </r>
  <r>
    <s v="TX501383"/>
    <x v="6"/>
    <x v="20"/>
    <n v="41.6"/>
    <n v="624"/>
    <d v="2025-02-21T00:00:00"/>
    <d v="2025-02-23T00:00:00"/>
    <s v="M"/>
    <x v="1"/>
    <x v="0"/>
    <x v="0"/>
    <x v="26"/>
    <x v="1"/>
    <x v="7"/>
    <x v="1"/>
  </r>
  <r>
    <s v="TX501384"/>
    <x v="8"/>
    <x v="1"/>
    <n v="19.2"/>
    <n v="38.4"/>
    <d v="2025-02-21T00:00:00"/>
    <d v="2025-02-24T00:00:00"/>
    <s v="M"/>
    <x v="4"/>
    <x v="2"/>
    <x v="0"/>
    <x v="9"/>
    <x v="2"/>
    <x v="7"/>
    <x v="1"/>
  </r>
  <r>
    <s v="TX501385"/>
    <x v="17"/>
    <x v="3"/>
    <n v="41.8"/>
    <n v="292.59999999999997"/>
    <d v="2025-02-21T00:00:00"/>
    <d v="2025-02-23T00:00:00"/>
    <s v="F"/>
    <x v="2"/>
    <x v="0"/>
    <x v="0"/>
    <x v="11"/>
    <x v="1"/>
    <x v="7"/>
    <x v="2"/>
  </r>
  <r>
    <s v="TX501386"/>
    <x v="8"/>
    <x v="13"/>
    <n v="37.4"/>
    <n v="224.39999999999998"/>
    <d v="2025-02-21T00:00:00"/>
    <d v="2025-02-23T00:00:00"/>
    <s v="M"/>
    <x v="0"/>
    <x v="2"/>
    <x v="0"/>
    <x v="11"/>
    <x v="1"/>
    <x v="7"/>
    <x v="1"/>
  </r>
  <r>
    <s v="TX501387"/>
    <x v="10"/>
    <x v="2"/>
    <n v="60.2"/>
    <n v="180.60000000000002"/>
    <d v="2025-02-21T00:00:00"/>
    <d v="2025-02-24T00:00:00"/>
    <s v="M"/>
    <x v="4"/>
    <x v="1"/>
    <x v="0"/>
    <x v="38"/>
    <x v="2"/>
    <x v="7"/>
    <x v="1"/>
  </r>
  <r>
    <s v="TX501388"/>
    <x v="9"/>
    <x v="1"/>
    <n v="91.5"/>
    <n v="183"/>
    <d v="2025-02-22T00:00:00"/>
    <d v="2025-02-23T00:00:00"/>
    <s v="M"/>
    <x v="0"/>
    <x v="0"/>
    <x v="0"/>
    <x v="13"/>
    <x v="3"/>
    <x v="7"/>
    <x v="1"/>
  </r>
  <r>
    <s v="TX501389"/>
    <x v="3"/>
    <x v="9"/>
    <n v="55.7"/>
    <n v="278.5"/>
    <d v="2025-02-22T00:00:00"/>
    <d v="2025-02-24T00:00:00"/>
    <s v=""/>
    <x v="1"/>
    <x v="2"/>
    <x v="0"/>
    <x v="21"/>
    <x v="1"/>
    <x v="7"/>
    <x v="0"/>
  </r>
  <r>
    <s v="TX501390"/>
    <x v="7"/>
    <x v="1"/>
    <n v="76.7"/>
    <n v="153.4"/>
    <d v="2025-02-22T00:00:00"/>
    <d v="2025-02-24T00:00:00"/>
    <s v="M"/>
    <x v="0"/>
    <x v="1"/>
    <x v="0"/>
    <x v="21"/>
    <x v="1"/>
    <x v="7"/>
    <x v="1"/>
  </r>
  <r>
    <s v="TX501391"/>
    <x v="8"/>
    <x v="38"/>
    <n v="28.2"/>
    <n v="592.19999999999993"/>
    <d v="2025-02-22T00:00:00"/>
    <d v="2025-02-27T00:00:00"/>
    <s v="M"/>
    <x v="2"/>
    <x v="0"/>
    <x v="0"/>
    <x v="1"/>
    <x v="0"/>
    <x v="7"/>
    <x v="1"/>
  </r>
  <r>
    <s v="TX501392"/>
    <x v="7"/>
    <x v="9"/>
    <n v="93.2"/>
    <n v="466"/>
    <d v="2025-02-22T00:00:00"/>
    <d v="2025-02-24T00:00:00"/>
    <s v="F"/>
    <x v="4"/>
    <x v="2"/>
    <x v="0"/>
    <x v="1"/>
    <x v="1"/>
    <x v="7"/>
    <x v="2"/>
  </r>
  <r>
    <s v="TX501393"/>
    <x v="17"/>
    <x v="0"/>
    <n v="33.299999999999997"/>
    <n v="33.299999999999997"/>
    <d v="2025-02-22T00:00:00"/>
    <d v="2025-02-23T00:00:00"/>
    <s v="M"/>
    <x v="4"/>
    <x v="0"/>
    <x v="0"/>
    <x v="2"/>
    <x v="3"/>
    <x v="7"/>
    <x v="1"/>
  </r>
  <r>
    <s v="TX501394"/>
    <x v="10"/>
    <x v="1"/>
    <n v="39.1"/>
    <n v="78.2"/>
    <d v="2025-02-22T00:00:00"/>
    <d v="2025-02-25T00:00:00"/>
    <s v="M"/>
    <x v="0"/>
    <x v="0"/>
    <x v="0"/>
    <x v="44"/>
    <x v="2"/>
    <x v="7"/>
    <x v="1"/>
  </r>
  <r>
    <s v="TX501395"/>
    <x v="7"/>
    <x v="4"/>
    <n v="45.3"/>
    <n v="543.59999999999991"/>
    <d v="2025-02-22T00:00:00"/>
    <d v="2025-02-23T00:00:00"/>
    <s v="M"/>
    <x v="2"/>
    <x v="0"/>
    <x v="0"/>
    <x v="33"/>
    <x v="3"/>
    <x v="7"/>
    <x v="1"/>
  </r>
  <r>
    <s v="TX501396"/>
    <x v="9"/>
    <x v="3"/>
    <n v="33.9"/>
    <n v="237.29999999999998"/>
    <d v="2025-02-22T00:00:00"/>
    <d v="2025-02-23T00:00:00"/>
    <s v="M"/>
    <x v="4"/>
    <x v="0"/>
    <x v="0"/>
    <x v="33"/>
    <x v="3"/>
    <x v="7"/>
    <x v="1"/>
  </r>
  <r>
    <s v="TX501397"/>
    <x v="8"/>
    <x v="2"/>
    <n v="19"/>
    <n v="57"/>
    <d v="2025-02-22T00:00:00"/>
    <d v="2025-02-23T00:00:00"/>
    <s v="M"/>
    <x v="0"/>
    <x v="2"/>
    <x v="0"/>
    <x v="15"/>
    <x v="3"/>
    <x v="7"/>
    <x v="1"/>
  </r>
  <r>
    <s v="TX501398"/>
    <x v="4"/>
    <x v="0"/>
    <n v="41.9"/>
    <n v="41.9"/>
    <d v="2025-02-22T00:00:00"/>
    <d v="2025-02-25T00:00:00"/>
    <s v="F"/>
    <x v="2"/>
    <x v="0"/>
    <x v="0"/>
    <x v="22"/>
    <x v="2"/>
    <x v="7"/>
    <x v="2"/>
  </r>
  <r>
    <s v="TX501399"/>
    <x v="1"/>
    <x v="12"/>
    <n v="37.5"/>
    <n v="150"/>
    <d v="2025-02-22T00:00:00"/>
    <d v="2025-02-22T00:00:00"/>
    <s v="F"/>
    <x v="0"/>
    <x v="0"/>
    <x v="0"/>
    <x v="3"/>
    <x v="7"/>
    <x v="7"/>
    <x v="2"/>
  </r>
  <r>
    <s v="TX501400"/>
    <x v="0"/>
    <x v="1"/>
    <n v="40.799999999999997"/>
    <n v="81.599999999999994"/>
    <d v="2025-02-22T00:00:00"/>
    <d v="2025-02-25T00:00:00"/>
    <s v="M"/>
    <x v="0"/>
    <x v="0"/>
    <x v="0"/>
    <x v="3"/>
    <x v="2"/>
    <x v="7"/>
    <x v="1"/>
  </r>
  <r>
    <s v="TX501401"/>
    <x v="0"/>
    <x v="12"/>
    <n v="23.1"/>
    <n v="92.4"/>
    <d v="2025-02-22T00:00:00"/>
    <d v="2025-02-23T00:00:00"/>
    <s v="F"/>
    <x v="4"/>
    <x v="0"/>
    <x v="0"/>
    <x v="3"/>
    <x v="3"/>
    <x v="7"/>
    <x v="2"/>
  </r>
  <r>
    <s v="TX501402"/>
    <x v="8"/>
    <x v="9"/>
    <n v="39.299999999999997"/>
    <n v="196.5"/>
    <d v="2025-02-22T00:00:00"/>
    <d v="2025-02-23T00:00:00"/>
    <s v="F"/>
    <x v="0"/>
    <x v="0"/>
    <x v="0"/>
    <x v="3"/>
    <x v="3"/>
    <x v="7"/>
    <x v="2"/>
  </r>
  <r>
    <s v="TX501403"/>
    <x v="2"/>
    <x v="12"/>
    <n v="85.2"/>
    <n v="340.8"/>
    <d v="2025-02-22T00:00:00"/>
    <d v="2025-02-27T00:00:00"/>
    <s v="M"/>
    <x v="2"/>
    <x v="0"/>
    <x v="0"/>
    <x v="3"/>
    <x v="0"/>
    <x v="7"/>
    <x v="1"/>
  </r>
  <r>
    <s v="TX501404"/>
    <x v="8"/>
    <x v="13"/>
    <n v="16"/>
    <n v="96"/>
    <d v="2025-02-22T00:00:00"/>
    <d v="2025-02-25T00:00:00"/>
    <s v="M"/>
    <x v="1"/>
    <x v="0"/>
    <x v="0"/>
    <x v="3"/>
    <x v="2"/>
    <x v="7"/>
    <x v="1"/>
  </r>
  <r>
    <s v="TX501405"/>
    <x v="1"/>
    <x v="1"/>
    <n v="33.799999999999997"/>
    <n v="67.599999999999994"/>
    <d v="2025-02-22T00:00:00"/>
    <d v="2025-02-26T00:00:00"/>
    <s v="F"/>
    <x v="1"/>
    <x v="0"/>
    <x v="0"/>
    <x v="3"/>
    <x v="5"/>
    <x v="7"/>
    <x v="2"/>
  </r>
  <r>
    <s v="TX501406"/>
    <x v="3"/>
    <x v="0"/>
    <n v="70"/>
    <n v="70"/>
    <d v="2025-02-22T00:00:00"/>
    <d v="2025-02-23T00:00:00"/>
    <s v="F"/>
    <x v="0"/>
    <x v="0"/>
    <x v="0"/>
    <x v="3"/>
    <x v="3"/>
    <x v="7"/>
    <x v="2"/>
  </r>
  <r>
    <s v="TX501407"/>
    <x v="9"/>
    <x v="0"/>
    <n v="88"/>
    <n v="88"/>
    <d v="2025-02-22T00:00:00"/>
    <d v="2025-02-27T00:00:00"/>
    <s v="F"/>
    <x v="3"/>
    <x v="0"/>
    <x v="0"/>
    <x v="3"/>
    <x v="0"/>
    <x v="7"/>
    <x v="2"/>
  </r>
  <r>
    <s v="TX501408"/>
    <x v="2"/>
    <x v="2"/>
    <n v="74.099999999999994"/>
    <n v="222.29999999999998"/>
    <d v="2025-02-22T00:00:00"/>
    <d v="2025-02-22T00:00:00"/>
    <s v="M"/>
    <x v="4"/>
    <x v="1"/>
    <x v="0"/>
    <x v="3"/>
    <x v="7"/>
    <x v="7"/>
    <x v="1"/>
  </r>
  <r>
    <s v="TX501409"/>
    <x v="2"/>
    <x v="0"/>
    <n v="161.9"/>
    <n v="161.9"/>
    <d v="2025-02-22T00:00:00"/>
    <d v="2025-02-24T00:00:00"/>
    <s v="M"/>
    <x v="2"/>
    <x v="0"/>
    <x v="0"/>
    <x v="3"/>
    <x v="1"/>
    <x v="7"/>
    <x v="1"/>
  </r>
  <r>
    <s v="TX501410"/>
    <x v="4"/>
    <x v="1"/>
    <n v="44"/>
    <n v="88"/>
    <d v="2025-02-22T00:00:00"/>
    <d v="2025-02-23T00:00:00"/>
    <s v="O"/>
    <x v="4"/>
    <x v="1"/>
    <x v="0"/>
    <x v="3"/>
    <x v="3"/>
    <x v="7"/>
    <x v="3"/>
  </r>
  <r>
    <s v="TX501411"/>
    <x v="11"/>
    <x v="0"/>
    <n v="32.1"/>
    <n v="32.1"/>
    <d v="2025-02-22T00:00:00"/>
    <d v="2025-02-22T00:00:00"/>
    <s v="F"/>
    <x v="3"/>
    <x v="3"/>
    <x v="0"/>
    <x v="3"/>
    <x v="7"/>
    <x v="7"/>
    <x v="2"/>
  </r>
  <r>
    <s v="TX501412"/>
    <x v="2"/>
    <x v="12"/>
    <n v="104.8"/>
    <n v="419.2"/>
    <d v="2025-02-23T00:00:00"/>
    <d v="2025-02-25T00:00:00"/>
    <s v="O"/>
    <x v="0"/>
    <x v="0"/>
    <x v="0"/>
    <x v="3"/>
    <x v="1"/>
    <x v="8"/>
    <x v="3"/>
  </r>
  <r>
    <s v="TX501413"/>
    <x v="9"/>
    <x v="13"/>
    <n v="67.400000000000006"/>
    <n v="404.40000000000003"/>
    <d v="2025-02-23T00:00:00"/>
    <d v="2025-02-24T00:00:00"/>
    <s v="F"/>
    <x v="3"/>
    <x v="0"/>
    <x v="0"/>
    <x v="3"/>
    <x v="3"/>
    <x v="8"/>
    <x v="2"/>
  </r>
  <r>
    <s v="TX501414"/>
    <x v="6"/>
    <x v="1"/>
    <n v="115.2"/>
    <n v="230.4"/>
    <d v="2025-02-23T00:00:00"/>
    <d v="2025-02-24T00:00:00"/>
    <s v="F"/>
    <x v="1"/>
    <x v="0"/>
    <x v="0"/>
    <x v="4"/>
    <x v="3"/>
    <x v="8"/>
    <x v="2"/>
  </r>
  <r>
    <s v="TX501415"/>
    <x v="8"/>
    <x v="19"/>
    <n v="15.5"/>
    <n v="449.5"/>
    <d v="2025-02-23T00:00:00"/>
    <d v="2025-02-25T00:00:00"/>
    <s v="F"/>
    <x v="0"/>
    <x v="1"/>
    <x v="0"/>
    <x v="23"/>
    <x v="1"/>
    <x v="8"/>
    <x v="2"/>
  </r>
  <r>
    <s v="TX501416"/>
    <x v="6"/>
    <x v="5"/>
    <n v="66.400000000000006"/>
    <n v="730.40000000000009"/>
    <d v="2025-02-23T00:00:00"/>
    <d v="2025-02-25T00:00:00"/>
    <s v="F"/>
    <x v="0"/>
    <x v="0"/>
    <x v="0"/>
    <x v="6"/>
    <x v="1"/>
    <x v="8"/>
    <x v="2"/>
  </r>
  <r>
    <s v="TX501417"/>
    <x v="9"/>
    <x v="4"/>
    <n v="68.099999999999994"/>
    <n v="817.19999999999993"/>
    <d v="2025-02-23T00:00:00"/>
    <d v="2025-02-24T00:00:00"/>
    <s v="F"/>
    <x v="2"/>
    <x v="0"/>
    <x v="0"/>
    <x v="8"/>
    <x v="3"/>
    <x v="8"/>
    <x v="2"/>
  </r>
  <r>
    <s v="TX501418"/>
    <x v="8"/>
    <x v="9"/>
    <n v="32.5"/>
    <n v="162.5"/>
    <d v="2025-02-23T00:00:00"/>
    <d v="2025-02-27T00:00:00"/>
    <s v="M"/>
    <x v="2"/>
    <x v="1"/>
    <x v="0"/>
    <x v="8"/>
    <x v="5"/>
    <x v="8"/>
    <x v="1"/>
  </r>
  <r>
    <s v="TX501419"/>
    <x v="15"/>
    <x v="2"/>
    <n v="61.2"/>
    <n v="183.60000000000002"/>
    <d v="2025-02-23T00:00:00"/>
    <d v="2025-02-25T00:00:00"/>
    <s v="F"/>
    <x v="1"/>
    <x v="1"/>
    <x v="0"/>
    <x v="8"/>
    <x v="1"/>
    <x v="8"/>
    <x v="2"/>
  </r>
  <r>
    <s v="TX501420"/>
    <x v="9"/>
    <x v="1"/>
    <n v="54.2"/>
    <n v="108.4"/>
    <d v="2025-02-23T00:00:00"/>
    <d v="2025-02-24T00:00:00"/>
    <s v="F"/>
    <x v="1"/>
    <x v="0"/>
    <x v="0"/>
    <x v="8"/>
    <x v="3"/>
    <x v="8"/>
    <x v="2"/>
  </r>
  <r>
    <s v="TX501421"/>
    <x v="11"/>
    <x v="8"/>
    <n v="28.7"/>
    <n v="229.6"/>
    <d v="2025-02-23T00:00:00"/>
    <d v="2025-02-25T00:00:00"/>
    <s v="M"/>
    <x v="1"/>
    <x v="0"/>
    <x v="0"/>
    <x v="9"/>
    <x v="1"/>
    <x v="8"/>
    <x v="1"/>
  </r>
  <r>
    <s v="TX501422"/>
    <x v="12"/>
    <x v="13"/>
    <n v="38.200000000000003"/>
    <n v="229.20000000000002"/>
    <d v="2025-02-23T00:00:00"/>
    <d v="2025-02-27T00:00:00"/>
    <s v="F"/>
    <x v="0"/>
    <x v="1"/>
    <x v="0"/>
    <x v="9"/>
    <x v="5"/>
    <x v="8"/>
    <x v="2"/>
  </r>
  <r>
    <s v="TX501423"/>
    <x v="8"/>
    <x v="4"/>
    <n v="17.600000000000001"/>
    <n v="211.20000000000002"/>
    <d v="2025-02-23T00:00:00"/>
    <d v="2025-02-24T00:00:00"/>
    <s v="F"/>
    <x v="2"/>
    <x v="1"/>
    <x v="0"/>
    <x v="9"/>
    <x v="3"/>
    <x v="8"/>
    <x v="2"/>
  </r>
  <r>
    <s v="TX501424"/>
    <x v="10"/>
    <x v="2"/>
    <n v="74.599999999999994"/>
    <n v="223.79999999999998"/>
    <d v="2025-02-23T00:00:00"/>
    <d v="2025-02-23T00:00:00"/>
    <s v="F"/>
    <x v="2"/>
    <x v="0"/>
    <x v="0"/>
    <x v="11"/>
    <x v="7"/>
    <x v="8"/>
    <x v="2"/>
  </r>
  <r>
    <s v="TX501425"/>
    <x v="16"/>
    <x v="20"/>
    <n v="72.599999999999994"/>
    <n v="1089"/>
    <d v="2025-02-23T00:00:00"/>
    <d v="2025-02-23T00:00:00"/>
    <s v=""/>
    <x v="1"/>
    <x v="1"/>
    <x v="0"/>
    <x v="11"/>
    <x v="7"/>
    <x v="8"/>
    <x v="0"/>
  </r>
  <r>
    <s v="TX501426"/>
    <x v="7"/>
    <x v="0"/>
    <n v="62.3"/>
    <n v="62.3"/>
    <d v="2025-02-23T00:00:00"/>
    <d v="2025-02-24T00:00:00"/>
    <s v="F"/>
    <x v="1"/>
    <x v="0"/>
    <x v="0"/>
    <x v="11"/>
    <x v="3"/>
    <x v="8"/>
    <x v="2"/>
  </r>
  <r>
    <s v="TX501427"/>
    <x v="3"/>
    <x v="2"/>
    <n v="33.799999999999997"/>
    <n v="101.39999999999999"/>
    <d v="2025-02-23T00:00:00"/>
    <d v="2025-02-25T00:00:00"/>
    <s v="M"/>
    <x v="0"/>
    <x v="2"/>
    <x v="0"/>
    <x v="20"/>
    <x v="1"/>
    <x v="8"/>
    <x v="1"/>
  </r>
  <r>
    <s v="TX501428"/>
    <x v="9"/>
    <x v="0"/>
    <n v="85.7"/>
    <n v="85.7"/>
    <d v="2025-02-23T00:00:00"/>
    <d v="2025-02-26T00:00:00"/>
    <s v="M"/>
    <x v="3"/>
    <x v="1"/>
    <x v="0"/>
    <x v="21"/>
    <x v="2"/>
    <x v="8"/>
    <x v="1"/>
  </r>
  <r>
    <s v="TX501429"/>
    <x v="6"/>
    <x v="1"/>
    <n v="92.1"/>
    <n v="184.2"/>
    <d v="2025-02-23T00:00:00"/>
    <d v="2025-02-25T00:00:00"/>
    <s v="M"/>
    <x v="1"/>
    <x v="0"/>
    <x v="0"/>
    <x v="21"/>
    <x v="1"/>
    <x v="8"/>
    <x v="1"/>
  </r>
  <r>
    <s v="TX501430"/>
    <x v="16"/>
    <x v="2"/>
    <n v="65.099999999999994"/>
    <n v="195.29999999999998"/>
    <d v="2025-02-23T00:00:00"/>
    <d v="2025-02-26T00:00:00"/>
    <s v="M"/>
    <x v="0"/>
    <x v="0"/>
    <x v="0"/>
    <x v="1"/>
    <x v="2"/>
    <x v="8"/>
    <x v="1"/>
  </r>
  <r>
    <s v="TX501431"/>
    <x v="9"/>
    <x v="3"/>
    <n v="20.3"/>
    <n v="142.1"/>
    <d v="2025-02-23T00:00:00"/>
    <d v="2025-02-24T00:00:00"/>
    <s v="F"/>
    <x v="2"/>
    <x v="2"/>
    <x v="0"/>
    <x v="2"/>
    <x v="3"/>
    <x v="8"/>
    <x v="2"/>
  </r>
  <r>
    <s v="TX501432"/>
    <x v="19"/>
    <x v="1"/>
    <n v="29.8"/>
    <n v="59.6"/>
    <d v="2025-02-23T00:00:00"/>
    <d v="2025-02-25T00:00:00"/>
    <s v="F"/>
    <x v="1"/>
    <x v="2"/>
    <x v="0"/>
    <x v="34"/>
    <x v="1"/>
    <x v="8"/>
    <x v="2"/>
  </r>
  <r>
    <s v="TX501433"/>
    <x v="0"/>
    <x v="1"/>
    <n v="24.2"/>
    <n v="48.4"/>
    <d v="2025-02-23T00:00:00"/>
    <d v="2025-02-25T00:00:00"/>
    <s v="F"/>
    <x v="3"/>
    <x v="2"/>
    <x v="0"/>
    <x v="3"/>
    <x v="1"/>
    <x v="8"/>
    <x v="2"/>
  </r>
  <r>
    <s v="TX501434"/>
    <x v="3"/>
    <x v="0"/>
    <n v="57.3"/>
    <n v="57.3"/>
    <d v="2025-02-23T00:00:00"/>
    <d v="2025-02-25T00:00:00"/>
    <s v="M"/>
    <x v="0"/>
    <x v="0"/>
    <x v="0"/>
    <x v="3"/>
    <x v="1"/>
    <x v="8"/>
    <x v="1"/>
  </r>
  <r>
    <s v="TX501435"/>
    <x v="2"/>
    <x v="0"/>
    <n v="108.9"/>
    <n v="108.9"/>
    <d v="2025-02-23T00:00:00"/>
    <d v="2025-02-25T00:00:00"/>
    <s v="F"/>
    <x v="1"/>
    <x v="0"/>
    <x v="0"/>
    <x v="3"/>
    <x v="1"/>
    <x v="8"/>
    <x v="2"/>
  </r>
  <r>
    <s v="TX501436"/>
    <x v="7"/>
    <x v="9"/>
    <n v="50.7"/>
    <n v="253.5"/>
    <d v="2025-02-23T00:00:00"/>
    <d v="2025-02-24T00:00:00"/>
    <s v="F"/>
    <x v="0"/>
    <x v="0"/>
    <x v="0"/>
    <x v="3"/>
    <x v="3"/>
    <x v="8"/>
    <x v="2"/>
  </r>
  <r>
    <s v="TX501437"/>
    <x v="7"/>
    <x v="11"/>
    <n v="66.099999999999994"/>
    <n v="594.9"/>
    <d v="2025-02-23T00:00:00"/>
    <d v="2025-03-09T00:00:00"/>
    <s v="F"/>
    <x v="1"/>
    <x v="0"/>
    <x v="0"/>
    <x v="3"/>
    <x v="12"/>
    <x v="8"/>
    <x v="2"/>
  </r>
  <r>
    <s v="TX501438"/>
    <x v="12"/>
    <x v="9"/>
    <n v="36.700000000000003"/>
    <n v="183.5"/>
    <d v="2025-02-23T00:00:00"/>
    <d v="2025-02-27T00:00:00"/>
    <s v="F"/>
    <x v="4"/>
    <x v="0"/>
    <x v="0"/>
    <x v="3"/>
    <x v="5"/>
    <x v="8"/>
    <x v="2"/>
  </r>
  <r>
    <s v="TX501439"/>
    <x v="8"/>
    <x v="14"/>
    <n v="19.3"/>
    <n v="328.1"/>
    <d v="2025-02-23T00:00:00"/>
    <d v="2025-02-25T00:00:00"/>
    <s v="M"/>
    <x v="0"/>
    <x v="0"/>
    <x v="0"/>
    <x v="43"/>
    <x v="1"/>
    <x v="8"/>
    <x v="1"/>
  </r>
  <r>
    <s v="TX501440"/>
    <x v="8"/>
    <x v="12"/>
    <n v="20.7"/>
    <n v="82.8"/>
    <d v="2025-02-23T00:00:00"/>
    <d v="2025-02-24T00:00:00"/>
    <s v="M"/>
    <x v="1"/>
    <x v="2"/>
    <x v="0"/>
    <x v="6"/>
    <x v="3"/>
    <x v="8"/>
    <x v="1"/>
  </r>
  <r>
    <s v="TX501441"/>
    <x v="5"/>
    <x v="2"/>
    <n v="54.7"/>
    <n v="164.10000000000002"/>
    <d v="2025-02-23T00:00:00"/>
    <d v="2025-02-23T00:00:00"/>
    <s v="O"/>
    <x v="1"/>
    <x v="4"/>
    <x v="0"/>
    <x v="6"/>
    <x v="7"/>
    <x v="8"/>
    <x v="3"/>
  </r>
  <r>
    <s v="TX501442"/>
    <x v="4"/>
    <x v="1"/>
    <n v="19.8"/>
    <n v="39.6"/>
    <d v="2025-02-23T00:00:00"/>
    <d v="2025-02-27T00:00:00"/>
    <s v="F"/>
    <x v="4"/>
    <x v="1"/>
    <x v="0"/>
    <x v="8"/>
    <x v="5"/>
    <x v="8"/>
    <x v="2"/>
  </r>
  <r>
    <s v="TX501443"/>
    <x v="7"/>
    <x v="0"/>
    <n v="41.1"/>
    <n v="41.1"/>
    <d v="2025-02-23T00:00:00"/>
    <d v="2025-02-25T00:00:00"/>
    <s v="F"/>
    <x v="0"/>
    <x v="2"/>
    <x v="0"/>
    <x v="8"/>
    <x v="1"/>
    <x v="8"/>
    <x v="2"/>
  </r>
  <r>
    <s v="TX501444"/>
    <x v="11"/>
    <x v="8"/>
    <n v="43.5"/>
    <n v="348"/>
    <d v="2025-02-23T00:00:00"/>
    <d v="2025-02-27T00:00:00"/>
    <s v="F"/>
    <x v="3"/>
    <x v="0"/>
    <x v="0"/>
    <x v="8"/>
    <x v="5"/>
    <x v="8"/>
    <x v="2"/>
  </r>
  <r>
    <s v="TX501445"/>
    <x v="8"/>
    <x v="21"/>
    <n v="19"/>
    <n v="266"/>
    <d v="2025-02-23T00:00:00"/>
    <d v="2025-02-24T00:00:00"/>
    <s v="M"/>
    <x v="0"/>
    <x v="0"/>
    <x v="0"/>
    <x v="26"/>
    <x v="3"/>
    <x v="8"/>
    <x v="1"/>
  </r>
  <r>
    <s v="TX501446"/>
    <x v="2"/>
    <x v="12"/>
    <n v="51.4"/>
    <n v="205.6"/>
    <d v="2025-02-23T00:00:00"/>
    <d v="2025-02-23T00:00:00"/>
    <s v="F"/>
    <x v="0"/>
    <x v="0"/>
    <x v="0"/>
    <x v="26"/>
    <x v="7"/>
    <x v="8"/>
    <x v="2"/>
  </r>
  <r>
    <s v="TX501447"/>
    <x v="10"/>
    <x v="1"/>
    <n v="39.799999999999997"/>
    <n v="79.599999999999994"/>
    <d v="2025-02-23T00:00:00"/>
    <d v="2025-02-26T00:00:00"/>
    <s v="M"/>
    <x v="3"/>
    <x v="1"/>
    <x v="0"/>
    <x v="13"/>
    <x v="2"/>
    <x v="8"/>
    <x v="1"/>
  </r>
  <r>
    <s v="TX501448"/>
    <x v="6"/>
    <x v="9"/>
    <n v="61"/>
    <n v="305"/>
    <d v="2025-02-23T00:00:00"/>
    <d v="2025-02-24T00:00:00"/>
    <s v=""/>
    <x v="0"/>
    <x v="2"/>
    <x v="0"/>
    <x v="21"/>
    <x v="3"/>
    <x v="8"/>
    <x v="0"/>
  </r>
  <r>
    <s v="TX501449"/>
    <x v="8"/>
    <x v="5"/>
    <n v="15.1"/>
    <n v="166.1"/>
    <d v="2025-02-24T00:00:00"/>
    <d v="2025-03-01T00:00:00"/>
    <s v="M"/>
    <x v="3"/>
    <x v="2"/>
    <x v="0"/>
    <x v="2"/>
    <x v="0"/>
    <x v="8"/>
    <x v="1"/>
  </r>
  <r>
    <s v="TX501450"/>
    <x v="1"/>
    <x v="3"/>
    <n v="71.3"/>
    <n v="499.09999999999997"/>
    <d v="2025-02-24T00:00:00"/>
    <d v="2025-02-25T00:00:00"/>
    <s v="M"/>
    <x v="4"/>
    <x v="0"/>
    <x v="0"/>
    <x v="3"/>
    <x v="3"/>
    <x v="8"/>
    <x v="1"/>
  </r>
  <r>
    <s v="TX501451"/>
    <x v="10"/>
    <x v="0"/>
    <n v="25.8"/>
    <n v="25.8"/>
    <d v="2025-02-24T00:00:00"/>
    <d v="2025-02-26T00:00:00"/>
    <s v="F"/>
    <x v="0"/>
    <x v="2"/>
    <x v="0"/>
    <x v="3"/>
    <x v="1"/>
    <x v="8"/>
    <x v="2"/>
  </r>
  <r>
    <s v="TX501452"/>
    <x v="8"/>
    <x v="9"/>
    <n v="39.6"/>
    <n v="198"/>
    <d v="2025-02-24T00:00:00"/>
    <d v="2025-02-26T00:00:00"/>
    <s v="M"/>
    <x v="1"/>
    <x v="2"/>
    <x v="0"/>
    <x v="3"/>
    <x v="1"/>
    <x v="8"/>
    <x v="1"/>
  </r>
  <r>
    <s v="TX501453"/>
    <x v="5"/>
    <x v="1"/>
    <n v="64"/>
    <n v="128"/>
    <d v="2025-02-24T00:00:00"/>
    <d v="2025-02-24T00:00:00"/>
    <s v="M"/>
    <x v="1"/>
    <x v="1"/>
    <x v="0"/>
    <x v="3"/>
    <x v="7"/>
    <x v="8"/>
    <x v="1"/>
  </r>
  <r>
    <s v="TX501454"/>
    <x v="8"/>
    <x v="1"/>
    <n v="30.6"/>
    <n v="61.2"/>
    <d v="2025-02-24T00:00:00"/>
    <d v="2025-02-27T00:00:00"/>
    <s v="M"/>
    <x v="0"/>
    <x v="2"/>
    <x v="0"/>
    <x v="3"/>
    <x v="2"/>
    <x v="8"/>
    <x v="1"/>
  </r>
  <r>
    <s v="TX501455"/>
    <x v="8"/>
    <x v="1"/>
    <n v="21.3"/>
    <n v="42.6"/>
    <d v="2025-02-24T00:00:00"/>
    <d v="2025-02-25T00:00:00"/>
    <s v="M"/>
    <x v="0"/>
    <x v="1"/>
    <x v="0"/>
    <x v="3"/>
    <x v="3"/>
    <x v="8"/>
    <x v="1"/>
  </r>
  <r>
    <s v="TX501456"/>
    <x v="7"/>
    <x v="0"/>
    <n v="40.799999999999997"/>
    <n v="40.799999999999997"/>
    <d v="2025-02-24T00:00:00"/>
    <d v="2025-02-26T00:00:00"/>
    <s v="F"/>
    <x v="4"/>
    <x v="0"/>
    <x v="0"/>
    <x v="3"/>
    <x v="1"/>
    <x v="8"/>
    <x v="2"/>
  </r>
  <r>
    <s v="TX501457"/>
    <x v="9"/>
    <x v="12"/>
    <n v="27.7"/>
    <n v="110.8"/>
    <d v="2025-02-24T00:00:00"/>
    <d v="2025-02-25T00:00:00"/>
    <s v="F"/>
    <x v="0"/>
    <x v="1"/>
    <x v="0"/>
    <x v="3"/>
    <x v="3"/>
    <x v="8"/>
    <x v="2"/>
  </r>
  <r>
    <s v="TX501458"/>
    <x v="6"/>
    <x v="1"/>
    <n v="64.599999999999994"/>
    <n v="129.19999999999999"/>
    <d v="2025-02-24T00:00:00"/>
    <d v="2025-02-25T00:00:00"/>
    <s v="M"/>
    <x v="0"/>
    <x v="1"/>
    <x v="0"/>
    <x v="3"/>
    <x v="3"/>
    <x v="8"/>
    <x v="1"/>
  </r>
  <r>
    <s v="TX501459"/>
    <x v="6"/>
    <x v="27"/>
    <n v="91.1"/>
    <n v="1457.6"/>
    <d v="2025-02-24T00:00:00"/>
    <d v="2025-02-25T00:00:00"/>
    <s v="F"/>
    <x v="1"/>
    <x v="2"/>
    <x v="0"/>
    <x v="3"/>
    <x v="3"/>
    <x v="8"/>
    <x v="2"/>
  </r>
  <r>
    <s v="TX501460"/>
    <x v="1"/>
    <x v="0"/>
    <n v="39.5"/>
    <n v="39.5"/>
    <d v="2025-02-24T00:00:00"/>
    <d v="2025-03-04T00:00:00"/>
    <s v="F"/>
    <x v="0"/>
    <x v="0"/>
    <x v="0"/>
    <x v="3"/>
    <x v="9"/>
    <x v="8"/>
    <x v="2"/>
  </r>
  <r>
    <s v="TX501461"/>
    <x v="9"/>
    <x v="1"/>
    <n v="21.8"/>
    <n v="43.6"/>
    <d v="2025-02-24T00:00:00"/>
    <d v="2025-02-28T00:00:00"/>
    <s v="M"/>
    <x v="4"/>
    <x v="2"/>
    <x v="0"/>
    <x v="3"/>
    <x v="5"/>
    <x v="8"/>
    <x v="1"/>
  </r>
  <r>
    <s v="TX501462"/>
    <x v="8"/>
    <x v="1"/>
    <n v="51"/>
    <n v="102"/>
    <d v="2025-02-24T00:00:00"/>
    <d v="2025-02-27T00:00:00"/>
    <s v="M"/>
    <x v="3"/>
    <x v="2"/>
    <x v="0"/>
    <x v="3"/>
    <x v="2"/>
    <x v="8"/>
    <x v="1"/>
  </r>
  <r>
    <s v="TX501463"/>
    <x v="2"/>
    <x v="0"/>
    <n v="92.6"/>
    <n v="92.6"/>
    <d v="2025-02-24T00:00:00"/>
    <d v="2025-02-27T00:00:00"/>
    <s v="F"/>
    <x v="0"/>
    <x v="2"/>
    <x v="0"/>
    <x v="35"/>
    <x v="2"/>
    <x v="8"/>
    <x v="2"/>
  </r>
  <r>
    <s v="TX501464"/>
    <x v="9"/>
    <x v="1"/>
    <n v="31.1"/>
    <n v="62.2"/>
    <d v="2025-02-24T00:00:00"/>
    <d v="2025-03-01T00:00:00"/>
    <s v=""/>
    <x v="1"/>
    <x v="3"/>
    <x v="0"/>
    <x v="23"/>
    <x v="0"/>
    <x v="8"/>
    <x v="0"/>
  </r>
  <r>
    <s v="TX501465"/>
    <x v="5"/>
    <x v="2"/>
    <n v="56.4"/>
    <n v="169.2"/>
    <d v="2025-02-24T00:00:00"/>
    <d v="2025-02-25T00:00:00"/>
    <s v=""/>
    <x v="1"/>
    <x v="0"/>
    <x v="0"/>
    <x v="6"/>
    <x v="3"/>
    <x v="8"/>
    <x v="0"/>
  </r>
  <r>
    <s v="TX501466"/>
    <x v="9"/>
    <x v="0"/>
    <n v="41.9"/>
    <n v="41.9"/>
    <d v="2025-02-24T00:00:00"/>
    <d v="2025-02-24T00:00:00"/>
    <s v="M"/>
    <x v="1"/>
    <x v="0"/>
    <x v="0"/>
    <x v="6"/>
    <x v="7"/>
    <x v="8"/>
    <x v="1"/>
  </r>
  <r>
    <s v="TX501467"/>
    <x v="10"/>
    <x v="3"/>
    <n v="45.9"/>
    <n v="321.3"/>
    <d v="2025-02-24T00:00:00"/>
    <d v="2025-02-25T00:00:00"/>
    <s v="M"/>
    <x v="3"/>
    <x v="2"/>
    <x v="0"/>
    <x v="8"/>
    <x v="3"/>
    <x v="8"/>
    <x v="1"/>
  </r>
  <r>
    <s v="TX501468"/>
    <x v="14"/>
    <x v="11"/>
    <n v="24.4"/>
    <n v="219.6"/>
    <d v="2025-02-24T00:00:00"/>
    <d v="2025-02-28T00:00:00"/>
    <s v="M"/>
    <x v="3"/>
    <x v="2"/>
    <x v="0"/>
    <x v="8"/>
    <x v="5"/>
    <x v="8"/>
    <x v="1"/>
  </r>
  <r>
    <s v="TX501469"/>
    <x v="8"/>
    <x v="0"/>
    <n v="18.2"/>
    <n v="18.2"/>
    <d v="2025-02-24T00:00:00"/>
    <d v="2025-02-25T00:00:00"/>
    <s v="F"/>
    <x v="2"/>
    <x v="2"/>
    <x v="0"/>
    <x v="8"/>
    <x v="3"/>
    <x v="8"/>
    <x v="2"/>
  </r>
  <r>
    <s v="TX501470"/>
    <x v="8"/>
    <x v="12"/>
    <n v="51.2"/>
    <n v="204.8"/>
    <d v="2025-02-24T00:00:00"/>
    <d v="2025-02-25T00:00:00"/>
    <s v="F"/>
    <x v="0"/>
    <x v="0"/>
    <x v="0"/>
    <x v="8"/>
    <x v="3"/>
    <x v="8"/>
    <x v="2"/>
  </r>
  <r>
    <s v="TX501471"/>
    <x v="6"/>
    <x v="0"/>
    <n v="59.7"/>
    <n v="59.7"/>
    <d v="2025-02-24T00:00:00"/>
    <d v="2025-02-27T00:00:00"/>
    <s v="M"/>
    <x v="0"/>
    <x v="2"/>
    <x v="0"/>
    <x v="8"/>
    <x v="2"/>
    <x v="8"/>
    <x v="1"/>
  </r>
  <r>
    <s v="TX501472"/>
    <x v="4"/>
    <x v="1"/>
    <n v="33.6"/>
    <n v="67.2"/>
    <d v="2025-02-24T00:00:00"/>
    <d v="2025-02-26T00:00:00"/>
    <s v="F"/>
    <x v="0"/>
    <x v="0"/>
    <x v="0"/>
    <x v="17"/>
    <x v="1"/>
    <x v="8"/>
    <x v="2"/>
  </r>
  <r>
    <s v="TX501473"/>
    <x v="12"/>
    <x v="0"/>
    <n v="90.4"/>
    <n v="90.4"/>
    <d v="2025-02-24T00:00:00"/>
    <d v="2025-02-28T00:00:00"/>
    <s v="M"/>
    <x v="1"/>
    <x v="2"/>
    <x v="0"/>
    <x v="10"/>
    <x v="5"/>
    <x v="8"/>
    <x v="1"/>
  </r>
  <r>
    <s v="TX501474"/>
    <x v="11"/>
    <x v="2"/>
    <n v="70.3"/>
    <n v="210.89999999999998"/>
    <d v="2025-02-24T00:00:00"/>
    <d v="2025-02-24T00:00:00"/>
    <s v="M"/>
    <x v="1"/>
    <x v="2"/>
    <x v="0"/>
    <x v="11"/>
    <x v="7"/>
    <x v="8"/>
    <x v="1"/>
  </r>
  <r>
    <s v="TX501475"/>
    <x v="4"/>
    <x v="1"/>
    <n v="20.5"/>
    <n v="41"/>
    <d v="2025-02-24T00:00:00"/>
    <d v="2025-02-27T00:00:00"/>
    <s v="F"/>
    <x v="0"/>
    <x v="1"/>
    <x v="0"/>
    <x v="11"/>
    <x v="2"/>
    <x v="8"/>
    <x v="2"/>
  </r>
  <r>
    <s v="TX501476"/>
    <x v="5"/>
    <x v="5"/>
    <n v="37.6"/>
    <n v="413.6"/>
    <d v="2025-02-24T00:00:00"/>
    <d v="2025-02-25T00:00:00"/>
    <s v="M"/>
    <x v="0"/>
    <x v="0"/>
    <x v="0"/>
    <x v="38"/>
    <x v="3"/>
    <x v="8"/>
    <x v="1"/>
  </r>
  <r>
    <s v="TX501477"/>
    <x v="5"/>
    <x v="12"/>
    <n v="61.5"/>
    <n v="246"/>
    <d v="2025-02-24T00:00:00"/>
    <d v="2025-03-03T00:00:00"/>
    <s v="F"/>
    <x v="1"/>
    <x v="4"/>
    <x v="0"/>
    <x v="13"/>
    <x v="6"/>
    <x v="8"/>
    <x v="2"/>
  </r>
  <r>
    <s v="TX501478"/>
    <x v="9"/>
    <x v="0"/>
    <n v="33.5"/>
    <n v="33.5"/>
    <d v="2025-02-25T00:00:00"/>
    <d v="2025-03-01T00:00:00"/>
    <s v="M"/>
    <x v="4"/>
    <x v="1"/>
    <x v="0"/>
    <x v="21"/>
    <x v="5"/>
    <x v="8"/>
    <x v="1"/>
  </r>
  <r>
    <s v="TX501479"/>
    <x v="4"/>
    <x v="2"/>
    <n v="29.3"/>
    <n v="87.9"/>
    <d v="2025-02-25T00:00:00"/>
    <d v="2025-02-27T00:00:00"/>
    <s v="F"/>
    <x v="1"/>
    <x v="2"/>
    <x v="0"/>
    <x v="1"/>
    <x v="1"/>
    <x v="8"/>
    <x v="2"/>
  </r>
  <r>
    <s v="TX501480"/>
    <x v="2"/>
    <x v="1"/>
    <n v="125.9"/>
    <n v="251.8"/>
    <d v="2025-02-25T00:00:00"/>
    <d v="2025-03-02T00:00:00"/>
    <s v="F"/>
    <x v="4"/>
    <x v="1"/>
    <x v="0"/>
    <x v="1"/>
    <x v="0"/>
    <x v="8"/>
    <x v="2"/>
  </r>
  <r>
    <s v="TX501481"/>
    <x v="5"/>
    <x v="9"/>
    <n v="29.3"/>
    <n v="146.5"/>
    <d v="2025-02-25T00:00:00"/>
    <d v="2025-02-25T00:00:00"/>
    <s v="M"/>
    <x v="2"/>
    <x v="0"/>
    <x v="0"/>
    <x v="44"/>
    <x v="7"/>
    <x v="8"/>
    <x v="1"/>
  </r>
  <r>
    <s v="TX501482"/>
    <x v="9"/>
    <x v="0"/>
    <n v="37.799999999999997"/>
    <n v="37.799999999999997"/>
    <d v="2025-02-25T00:00:00"/>
    <d v="2025-02-28T00:00:00"/>
    <s v="F"/>
    <x v="0"/>
    <x v="2"/>
    <x v="0"/>
    <x v="3"/>
    <x v="2"/>
    <x v="8"/>
    <x v="2"/>
  </r>
  <r>
    <s v="TX501483"/>
    <x v="0"/>
    <x v="12"/>
    <n v="31.7"/>
    <n v="126.8"/>
    <d v="2025-02-25T00:00:00"/>
    <d v="2025-02-26T00:00:00"/>
    <s v="M"/>
    <x v="2"/>
    <x v="2"/>
    <x v="0"/>
    <x v="3"/>
    <x v="3"/>
    <x v="8"/>
    <x v="1"/>
  </r>
  <r>
    <s v="TX501484"/>
    <x v="8"/>
    <x v="9"/>
    <n v="26.3"/>
    <n v="131.5"/>
    <d v="2025-02-25T00:00:00"/>
    <d v="2025-02-26T00:00:00"/>
    <s v="F"/>
    <x v="3"/>
    <x v="2"/>
    <x v="0"/>
    <x v="3"/>
    <x v="3"/>
    <x v="8"/>
    <x v="2"/>
  </r>
  <r>
    <s v="TX501485"/>
    <x v="8"/>
    <x v="2"/>
    <n v="23.1"/>
    <n v="69.300000000000011"/>
    <d v="2025-02-25T00:00:00"/>
    <d v="2025-02-26T00:00:00"/>
    <s v="O"/>
    <x v="2"/>
    <x v="1"/>
    <x v="0"/>
    <x v="3"/>
    <x v="3"/>
    <x v="8"/>
    <x v="3"/>
  </r>
  <r>
    <s v="TX501486"/>
    <x v="4"/>
    <x v="0"/>
    <n v="22.3"/>
    <n v="22.3"/>
    <d v="2025-02-25T00:00:00"/>
    <d v="2025-02-27T00:00:00"/>
    <s v="F"/>
    <x v="2"/>
    <x v="0"/>
    <x v="0"/>
    <x v="3"/>
    <x v="1"/>
    <x v="8"/>
    <x v="2"/>
  </r>
  <r>
    <s v="TX501487"/>
    <x v="12"/>
    <x v="1"/>
    <n v="99.5"/>
    <n v="199"/>
    <d v="2025-02-25T00:00:00"/>
    <d v="2025-02-27T00:00:00"/>
    <s v="F"/>
    <x v="2"/>
    <x v="0"/>
    <x v="0"/>
    <x v="3"/>
    <x v="1"/>
    <x v="8"/>
    <x v="2"/>
  </r>
  <r>
    <s v="TX501488"/>
    <x v="12"/>
    <x v="12"/>
    <n v="47.4"/>
    <n v="189.6"/>
    <d v="2025-02-25T00:00:00"/>
    <d v="2025-02-28T00:00:00"/>
    <s v="F"/>
    <x v="1"/>
    <x v="0"/>
    <x v="0"/>
    <x v="3"/>
    <x v="2"/>
    <x v="8"/>
    <x v="2"/>
  </r>
  <r>
    <s v="TX501489"/>
    <x v="0"/>
    <x v="5"/>
    <n v="37.5"/>
    <n v="412.5"/>
    <d v="2025-02-25T00:00:00"/>
    <d v="2025-02-27T00:00:00"/>
    <s v="F"/>
    <x v="0"/>
    <x v="3"/>
    <x v="0"/>
    <x v="3"/>
    <x v="1"/>
    <x v="8"/>
    <x v="2"/>
  </r>
  <r>
    <s v="TX501490"/>
    <x v="10"/>
    <x v="0"/>
    <n v="45.1"/>
    <n v="45.1"/>
    <d v="2025-02-25T00:00:00"/>
    <d v="2025-03-02T00:00:00"/>
    <s v="M"/>
    <x v="3"/>
    <x v="2"/>
    <x v="0"/>
    <x v="24"/>
    <x v="0"/>
    <x v="8"/>
    <x v="1"/>
  </r>
  <r>
    <s v="TX501491"/>
    <x v="5"/>
    <x v="7"/>
    <n v="34.4"/>
    <n v="344"/>
    <d v="2025-02-25T00:00:00"/>
    <d v="2025-02-28T00:00:00"/>
    <s v="M"/>
    <x v="2"/>
    <x v="0"/>
    <x v="0"/>
    <x v="16"/>
    <x v="2"/>
    <x v="8"/>
    <x v="1"/>
  </r>
  <r>
    <s v="TX501492"/>
    <x v="4"/>
    <x v="1"/>
    <n v="38"/>
    <n v="76"/>
    <d v="2025-02-25T00:00:00"/>
    <d v="2025-02-27T00:00:00"/>
    <s v="F"/>
    <x v="1"/>
    <x v="0"/>
    <x v="0"/>
    <x v="5"/>
    <x v="1"/>
    <x v="8"/>
    <x v="2"/>
  </r>
  <r>
    <s v="TX501493"/>
    <x v="3"/>
    <x v="21"/>
    <n v="32.4"/>
    <n v="453.59999999999997"/>
    <d v="2025-02-25T00:00:00"/>
    <d v="2025-02-28T00:00:00"/>
    <s v="M"/>
    <x v="4"/>
    <x v="0"/>
    <x v="0"/>
    <x v="6"/>
    <x v="2"/>
    <x v="8"/>
    <x v="1"/>
  </r>
  <r>
    <s v="TX501494"/>
    <x v="6"/>
    <x v="2"/>
    <n v="40.9"/>
    <n v="122.69999999999999"/>
    <d v="2025-02-25T00:00:00"/>
    <d v="2025-02-25T00:00:00"/>
    <s v=""/>
    <x v="1"/>
    <x v="0"/>
    <x v="0"/>
    <x v="8"/>
    <x v="7"/>
    <x v="8"/>
    <x v="0"/>
  </r>
  <r>
    <s v="TX501495"/>
    <x v="7"/>
    <x v="3"/>
    <n v="76.2"/>
    <n v="533.4"/>
    <d v="2025-02-25T00:00:00"/>
    <d v="2025-02-27T00:00:00"/>
    <s v="F"/>
    <x v="2"/>
    <x v="1"/>
    <x v="0"/>
    <x v="8"/>
    <x v="1"/>
    <x v="8"/>
    <x v="2"/>
  </r>
  <r>
    <s v="TX501496"/>
    <x v="2"/>
    <x v="0"/>
    <n v="85.6"/>
    <n v="85.6"/>
    <d v="2025-02-25T00:00:00"/>
    <d v="2025-02-27T00:00:00"/>
    <s v="M"/>
    <x v="2"/>
    <x v="0"/>
    <x v="0"/>
    <x v="8"/>
    <x v="1"/>
    <x v="8"/>
    <x v="1"/>
  </r>
  <r>
    <s v="TX501497"/>
    <x v="4"/>
    <x v="12"/>
    <n v="25"/>
    <n v="100"/>
    <d v="2025-02-25T00:00:00"/>
    <d v="2025-02-27T00:00:00"/>
    <s v="F"/>
    <x v="2"/>
    <x v="2"/>
    <x v="0"/>
    <x v="8"/>
    <x v="1"/>
    <x v="8"/>
    <x v="2"/>
  </r>
  <r>
    <s v="TX501498"/>
    <x v="2"/>
    <x v="9"/>
    <n v="150.69999999999999"/>
    <n v="753.5"/>
    <d v="2025-02-25T00:00:00"/>
    <d v="2025-02-26T00:00:00"/>
    <s v=""/>
    <x v="0"/>
    <x v="2"/>
    <x v="0"/>
    <x v="8"/>
    <x v="3"/>
    <x v="8"/>
    <x v="0"/>
  </r>
  <r>
    <s v="TX501499"/>
    <x v="8"/>
    <x v="0"/>
    <n v="19.600000000000001"/>
    <n v="19.600000000000001"/>
    <d v="2025-02-25T00:00:00"/>
    <d v="2025-02-26T00:00:00"/>
    <s v="M"/>
    <x v="1"/>
    <x v="4"/>
    <x v="0"/>
    <x v="8"/>
    <x v="3"/>
    <x v="8"/>
    <x v="1"/>
  </r>
  <r>
    <s v="TX501500"/>
    <x v="13"/>
    <x v="1"/>
    <n v="37.5"/>
    <n v="75"/>
    <d v="2025-02-25T00:00:00"/>
    <d v="2025-02-28T00:00:00"/>
    <s v="F"/>
    <x v="1"/>
    <x v="2"/>
    <x v="0"/>
    <x v="17"/>
    <x v="2"/>
    <x v="8"/>
    <x v="2"/>
  </r>
  <r>
    <s v="TX501501"/>
    <x v="9"/>
    <x v="2"/>
    <n v="51.9"/>
    <n v="155.69999999999999"/>
    <d v="2025-02-25T00:00:00"/>
    <d v="2025-03-03T00:00:00"/>
    <s v="F"/>
    <x v="0"/>
    <x v="4"/>
    <x v="0"/>
    <x v="11"/>
    <x v="4"/>
    <x v="8"/>
    <x v="2"/>
  </r>
  <r>
    <s v="TX501502"/>
    <x v="1"/>
    <x v="1"/>
    <n v="30.9"/>
    <n v="61.8"/>
    <d v="2025-02-25T00:00:00"/>
    <d v="2025-02-27T00:00:00"/>
    <s v="F"/>
    <x v="1"/>
    <x v="0"/>
    <x v="0"/>
    <x v="18"/>
    <x v="1"/>
    <x v="8"/>
    <x v="2"/>
  </r>
  <r>
    <s v="TX501503"/>
    <x v="4"/>
    <x v="2"/>
    <n v="21.2"/>
    <n v="63.599999999999994"/>
    <d v="2025-02-25T00:00:00"/>
    <d v="2025-02-28T00:00:00"/>
    <s v="F"/>
    <x v="1"/>
    <x v="0"/>
    <x v="0"/>
    <x v="19"/>
    <x v="2"/>
    <x v="8"/>
    <x v="2"/>
  </r>
  <r>
    <s v="TX501504"/>
    <x v="13"/>
    <x v="14"/>
    <n v="17.5"/>
    <n v="297.5"/>
    <d v="2025-02-25T00:00:00"/>
    <d v="2025-02-26T00:00:00"/>
    <s v="M"/>
    <x v="1"/>
    <x v="1"/>
    <x v="0"/>
    <x v="13"/>
    <x v="3"/>
    <x v="8"/>
    <x v="1"/>
  </r>
  <r>
    <s v="TX501505"/>
    <x v="12"/>
    <x v="1"/>
    <n v="53.8"/>
    <n v="107.6"/>
    <d v="2025-02-25T00:00:00"/>
    <d v="2025-03-02T00:00:00"/>
    <s v="F"/>
    <x v="0"/>
    <x v="2"/>
    <x v="0"/>
    <x v="21"/>
    <x v="0"/>
    <x v="8"/>
    <x v="2"/>
  </r>
  <r>
    <s v="TX501506"/>
    <x v="19"/>
    <x v="1"/>
    <n v="17"/>
    <n v="34"/>
    <d v="2025-02-25T00:00:00"/>
    <d v="2025-02-26T00:00:00"/>
    <s v="M"/>
    <x v="3"/>
    <x v="0"/>
    <x v="0"/>
    <x v="21"/>
    <x v="3"/>
    <x v="8"/>
    <x v="1"/>
  </r>
  <r>
    <s v="TX501507"/>
    <x v="6"/>
    <x v="0"/>
    <n v="103.2"/>
    <n v="103.2"/>
    <d v="2025-02-25T00:00:00"/>
    <d v="2025-03-05T00:00:00"/>
    <s v="M"/>
    <x v="2"/>
    <x v="1"/>
    <x v="0"/>
    <x v="1"/>
    <x v="9"/>
    <x v="8"/>
    <x v="1"/>
  </r>
  <r>
    <s v="TX501508"/>
    <x v="6"/>
    <x v="12"/>
    <n v="70.3"/>
    <n v="281.2"/>
    <d v="2025-02-25T00:00:00"/>
    <d v="2025-02-26T00:00:00"/>
    <s v="M"/>
    <x v="0"/>
    <x v="0"/>
    <x v="0"/>
    <x v="3"/>
    <x v="3"/>
    <x v="8"/>
    <x v="1"/>
  </r>
  <r>
    <s v="TX501509"/>
    <x v="2"/>
    <x v="1"/>
    <n v="73.8"/>
    <n v="147.6"/>
    <d v="2025-02-25T00:00:00"/>
    <d v="2025-02-25T00:00:00"/>
    <s v="M"/>
    <x v="3"/>
    <x v="2"/>
    <x v="0"/>
    <x v="3"/>
    <x v="7"/>
    <x v="8"/>
    <x v="1"/>
  </r>
  <r>
    <s v="TX501510"/>
    <x v="1"/>
    <x v="4"/>
    <n v="67.7"/>
    <n v="812.40000000000009"/>
    <d v="2025-02-25T00:00:00"/>
    <d v="2025-03-01T00:00:00"/>
    <s v="M"/>
    <x v="1"/>
    <x v="1"/>
    <x v="0"/>
    <x v="3"/>
    <x v="5"/>
    <x v="8"/>
    <x v="1"/>
  </r>
  <r>
    <s v="TX501511"/>
    <x v="13"/>
    <x v="3"/>
    <n v="43.8"/>
    <n v="306.59999999999997"/>
    <d v="2025-02-25T00:00:00"/>
    <d v="2025-02-27T00:00:00"/>
    <s v="M"/>
    <x v="1"/>
    <x v="0"/>
    <x v="0"/>
    <x v="3"/>
    <x v="1"/>
    <x v="8"/>
    <x v="1"/>
  </r>
  <r>
    <s v="TX501512"/>
    <x v="17"/>
    <x v="13"/>
    <n v="71.900000000000006"/>
    <n v="431.40000000000003"/>
    <d v="2025-02-25T00:00:00"/>
    <d v="2025-02-26T00:00:00"/>
    <s v="F"/>
    <x v="2"/>
    <x v="0"/>
    <x v="0"/>
    <x v="3"/>
    <x v="3"/>
    <x v="8"/>
    <x v="2"/>
  </r>
  <r>
    <s v="TX501513"/>
    <x v="8"/>
    <x v="1"/>
    <n v="26.3"/>
    <n v="52.6"/>
    <d v="2025-02-26T00:00:00"/>
    <d v="2025-02-28T00:00:00"/>
    <s v="F"/>
    <x v="0"/>
    <x v="1"/>
    <x v="0"/>
    <x v="3"/>
    <x v="1"/>
    <x v="8"/>
    <x v="2"/>
  </r>
  <r>
    <s v="TX501514"/>
    <x v="6"/>
    <x v="12"/>
    <n v="52.6"/>
    <n v="210.4"/>
    <d v="2025-02-26T00:00:00"/>
    <d v="2025-02-28T00:00:00"/>
    <s v="F"/>
    <x v="2"/>
    <x v="1"/>
    <x v="0"/>
    <x v="3"/>
    <x v="1"/>
    <x v="8"/>
    <x v="2"/>
  </r>
  <r>
    <s v="TX501515"/>
    <x v="10"/>
    <x v="0"/>
    <n v="32.700000000000003"/>
    <n v="32.700000000000003"/>
    <d v="2025-02-26T00:00:00"/>
    <d v="2025-03-05T00:00:00"/>
    <s v="F"/>
    <x v="0"/>
    <x v="2"/>
    <x v="0"/>
    <x v="3"/>
    <x v="6"/>
    <x v="8"/>
    <x v="2"/>
  </r>
  <r>
    <s v="TX501516"/>
    <x v="5"/>
    <x v="12"/>
    <n v="38.9"/>
    <n v="155.6"/>
    <d v="2025-02-26T00:00:00"/>
    <d v="2025-02-27T00:00:00"/>
    <s v="F"/>
    <x v="0"/>
    <x v="0"/>
    <x v="0"/>
    <x v="3"/>
    <x v="3"/>
    <x v="8"/>
    <x v="2"/>
  </r>
  <r>
    <s v="TX501517"/>
    <x v="9"/>
    <x v="9"/>
    <n v="35"/>
    <n v="175"/>
    <d v="2025-02-26T00:00:00"/>
    <d v="2025-02-28T00:00:00"/>
    <s v="M"/>
    <x v="0"/>
    <x v="0"/>
    <x v="0"/>
    <x v="3"/>
    <x v="1"/>
    <x v="8"/>
    <x v="1"/>
  </r>
  <r>
    <s v="TX501518"/>
    <x v="2"/>
    <x v="1"/>
    <n v="121"/>
    <n v="242"/>
    <d v="2025-02-26T00:00:00"/>
    <d v="2025-02-27T00:00:00"/>
    <s v="F"/>
    <x v="1"/>
    <x v="1"/>
    <x v="0"/>
    <x v="3"/>
    <x v="3"/>
    <x v="8"/>
    <x v="2"/>
  </r>
  <r>
    <s v="TX501519"/>
    <x v="6"/>
    <x v="2"/>
    <n v="65.099999999999994"/>
    <n v="195.29999999999998"/>
    <d v="2025-02-26T00:00:00"/>
    <d v="2025-03-02T00:00:00"/>
    <s v="M"/>
    <x v="2"/>
    <x v="0"/>
    <x v="0"/>
    <x v="36"/>
    <x v="5"/>
    <x v="8"/>
    <x v="1"/>
  </r>
  <r>
    <s v="TX501520"/>
    <x v="1"/>
    <x v="38"/>
    <n v="63.8"/>
    <n v="1339.8"/>
    <d v="2025-02-26T00:00:00"/>
    <d v="2025-02-28T00:00:00"/>
    <s v="F"/>
    <x v="0"/>
    <x v="0"/>
    <x v="0"/>
    <x v="8"/>
    <x v="1"/>
    <x v="8"/>
    <x v="2"/>
  </r>
  <r>
    <s v="TX501521"/>
    <x v="7"/>
    <x v="0"/>
    <n v="77.7"/>
    <n v="77.7"/>
    <d v="2025-02-26T00:00:00"/>
    <d v="2025-02-28T00:00:00"/>
    <s v="M"/>
    <x v="0"/>
    <x v="0"/>
    <x v="0"/>
    <x v="8"/>
    <x v="1"/>
    <x v="8"/>
    <x v="1"/>
  </r>
  <r>
    <s v="TX501522"/>
    <x v="5"/>
    <x v="12"/>
    <n v="60.3"/>
    <n v="241.2"/>
    <d v="2025-02-26T00:00:00"/>
    <d v="2025-02-26T00:00:00"/>
    <s v="M"/>
    <x v="0"/>
    <x v="2"/>
    <x v="0"/>
    <x v="8"/>
    <x v="7"/>
    <x v="8"/>
    <x v="1"/>
  </r>
  <r>
    <s v="TX501523"/>
    <x v="5"/>
    <x v="1"/>
    <n v="124.1"/>
    <n v="248.2"/>
    <d v="2025-02-26T00:00:00"/>
    <d v="2025-03-01T00:00:00"/>
    <s v="F"/>
    <x v="0"/>
    <x v="2"/>
    <x v="0"/>
    <x v="8"/>
    <x v="2"/>
    <x v="8"/>
    <x v="2"/>
  </r>
  <r>
    <s v="TX501524"/>
    <x v="16"/>
    <x v="3"/>
    <n v="66"/>
    <n v="462"/>
    <d v="2025-02-26T00:00:00"/>
    <d v="2025-02-26T00:00:00"/>
    <s v=""/>
    <x v="3"/>
    <x v="0"/>
    <x v="0"/>
    <x v="17"/>
    <x v="7"/>
    <x v="8"/>
    <x v="0"/>
  </r>
  <r>
    <s v="TX501525"/>
    <x v="2"/>
    <x v="42"/>
    <n v="118.2"/>
    <n v="7446.6"/>
    <d v="2025-02-26T00:00:00"/>
    <d v="2025-03-03T00:00:00"/>
    <s v=""/>
    <x v="0"/>
    <x v="0"/>
    <x v="0"/>
    <x v="17"/>
    <x v="0"/>
    <x v="8"/>
    <x v="0"/>
  </r>
  <r>
    <s v="TX501526"/>
    <x v="5"/>
    <x v="9"/>
    <n v="64.3"/>
    <n v="321.5"/>
    <d v="2025-02-26T00:00:00"/>
    <d v="2025-02-27T00:00:00"/>
    <s v="M"/>
    <x v="4"/>
    <x v="4"/>
    <x v="0"/>
    <x v="26"/>
    <x v="3"/>
    <x v="8"/>
    <x v="1"/>
  </r>
  <r>
    <s v="TX501527"/>
    <x v="1"/>
    <x v="1"/>
    <n v="54.8"/>
    <n v="109.6"/>
    <d v="2025-02-26T00:00:00"/>
    <d v="2025-02-26T00:00:00"/>
    <s v="M"/>
    <x v="0"/>
    <x v="1"/>
    <x v="0"/>
    <x v="26"/>
    <x v="7"/>
    <x v="8"/>
    <x v="1"/>
  </r>
  <r>
    <s v="TX501528"/>
    <x v="7"/>
    <x v="1"/>
    <n v="78.599999999999994"/>
    <n v="157.19999999999999"/>
    <d v="2025-02-26T00:00:00"/>
    <d v="2025-02-27T00:00:00"/>
    <s v="M"/>
    <x v="0"/>
    <x v="2"/>
    <x v="0"/>
    <x v="9"/>
    <x v="3"/>
    <x v="8"/>
    <x v="1"/>
  </r>
  <r>
    <s v="TX501529"/>
    <x v="2"/>
    <x v="9"/>
    <n v="158.5"/>
    <n v="792.5"/>
    <d v="2025-02-26T00:00:00"/>
    <d v="2025-02-28T00:00:00"/>
    <s v=""/>
    <x v="2"/>
    <x v="2"/>
    <x v="0"/>
    <x v="9"/>
    <x v="1"/>
    <x v="8"/>
    <x v="0"/>
  </r>
  <r>
    <s v="TX501530"/>
    <x v="4"/>
    <x v="7"/>
    <n v="23.5"/>
    <n v="235"/>
    <d v="2025-02-26T00:00:00"/>
    <d v="2025-03-01T00:00:00"/>
    <s v="M"/>
    <x v="0"/>
    <x v="4"/>
    <x v="0"/>
    <x v="10"/>
    <x v="2"/>
    <x v="8"/>
    <x v="1"/>
  </r>
  <r>
    <s v="TX501531"/>
    <x v="5"/>
    <x v="1"/>
    <n v="32.1"/>
    <n v="64.2"/>
    <d v="2025-02-26T00:00:00"/>
    <d v="2025-02-28T00:00:00"/>
    <s v=""/>
    <x v="3"/>
    <x v="0"/>
    <x v="0"/>
    <x v="10"/>
    <x v="1"/>
    <x v="8"/>
    <x v="0"/>
  </r>
  <r>
    <s v="TX501532"/>
    <x v="17"/>
    <x v="12"/>
    <n v="71.900000000000006"/>
    <n v="287.60000000000002"/>
    <d v="2025-02-26T00:00:00"/>
    <d v="2025-02-26T00:00:00"/>
    <s v="M"/>
    <x v="2"/>
    <x v="0"/>
    <x v="0"/>
    <x v="19"/>
    <x v="7"/>
    <x v="8"/>
    <x v="1"/>
  </r>
  <r>
    <s v="TX501533"/>
    <x v="4"/>
    <x v="13"/>
    <n v="22.3"/>
    <n v="133.80000000000001"/>
    <d v="2025-02-26T00:00:00"/>
    <d v="2025-02-27T00:00:00"/>
    <s v=""/>
    <x v="3"/>
    <x v="2"/>
    <x v="0"/>
    <x v="13"/>
    <x v="3"/>
    <x v="8"/>
    <x v="0"/>
  </r>
  <r>
    <s v="TX501534"/>
    <x v="11"/>
    <x v="1"/>
    <n v="29.5"/>
    <n v="59"/>
    <d v="2025-02-26T00:00:00"/>
    <d v="2025-02-27T00:00:00"/>
    <s v="F"/>
    <x v="0"/>
    <x v="2"/>
    <x v="0"/>
    <x v="13"/>
    <x v="3"/>
    <x v="8"/>
    <x v="2"/>
  </r>
  <r>
    <s v="TX501535"/>
    <x v="6"/>
    <x v="12"/>
    <n v="41.9"/>
    <n v="167.6"/>
    <d v="2025-02-26T00:00:00"/>
    <d v="2025-03-02T00:00:00"/>
    <s v="F"/>
    <x v="0"/>
    <x v="1"/>
    <x v="0"/>
    <x v="21"/>
    <x v="5"/>
    <x v="8"/>
    <x v="2"/>
  </r>
  <r>
    <s v="TX501536"/>
    <x v="6"/>
    <x v="2"/>
    <n v="107.8"/>
    <n v="323.39999999999998"/>
    <d v="2025-02-26T00:00:00"/>
    <d v="2025-02-27T00:00:00"/>
    <s v="M"/>
    <x v="1"/>
    <x v="2"/>
    <x v="0"/>
    <x v="46"/>
    <x v="3"/>
    <x v="8"/>
    <x v="1"/>
  </r>
  <r>
    <s v="TX501537"/>
    <x v="4"/>
    <x v="9"/>
    <n v="18.100000000000001"/>
    <n v="90.5"/>
    <d v="2025-02-26T00:00:00"/>
    <d v="2025-03-01T00:00:00"/>
    <s v="M"/>
    <x v="0"/>
    <x v="2"/>
    <x v="0"/>
    <x v="2"/>
    <x v="2"/>
    <x v="8"/>
    <x v="1"/>
  </r>
  <r>
    <s v="TX501538"/>
    <x v="12"/>
    <x v="11"/>
    <n v="79.8"/>
    <n v="718.19999999999993"/>
    <d v="2025-02-26T00:00:00"/>
    <d v="2025-02-27T00:00:00"/>
    <s v="F"/>
    <x v="1"/>
    <x v="1"/>
    <x v="0"/>
    <x v="22"/>
    <x v="3"/>
    <x v="8"/>
    <x v="2"/>
  </r>
  <r>
    <s v="TX501539"/>
    <x v="0"/>
    <x v="2"/>
    <n v="22.3"/>
    <n v="66.900000000000006"/>
    <d v="2025-02-26T00:00:00"/>
    <d v="2025-03-01T00:00:00"/>
    <s v="F"/>
    <x v="0"/>
    <x v="2"/>
    <x v="0"/>
    <x v="22"/>
    <x v="2"/>
    <x v="8"/>
    <x v="2"/>
  </r>
  <r>
    <s v="TX501540"/>
    <x v="8"/>
    <x v="0"/>
    <n v="22.9"/>
    <n v="22.9"/>
    <d v="2025-02-26T00:00:00"/>
    <d v="2025-02-26T00:00:00"/>
    <s v="F"/>
    <x v="1"/>
    <x v="0"/>
    <x v="0"/>
    <x v="22"/>
    <x v="7"/>
    <x v="8"/>
    <x v="2"/>
  </r>
  <r>
    <s v="TX501541"/>
    <x v="0"/>
    <x v="2"/>
    <n v="16.2"/>
    <n v="48.599999999999994"/>
    <d v="2025-02-27T00:00:00"/>
    <d v="2025-02-27T00:00:00"/>
    <s v="M"/>
    <x v="4"/>
    <x v="2"/>
    <x v="0"/>
    <x v="3"/>
    <x v="7"/>
    <x v="8"/>
    <x v="1"/>
  </r>
  <r>
    <s v="TX501542"/>
    <x v="10"/>
    <x v="12"/>
    <n v="59.5"/>
    <n v="238"/>
    <d v="2025-02-27T00:00:00"/>
    <d v="2025-02-28T00:00:00"/>
    <s v="M"/>
    <x v="1"/>
    <x v="2"/>
    <x v="0"/>
    <x v="3"/>
    <x v="3"/>
    <x v="8"/>
    <x v="1"/>
  </r>
  <r>
    <s v="TX501543"/>
    <x v="18"/>
    <x v="9"/>
    <n v="26.2"/>
    <n v="131"/>
    <d v="2025-02-27T00:00:00"/>
    <d v="2025-03-02T00:00:00"/>
    <s v="M"/>
    <x v="3"/>
    <x v="4"/>
    <x v="0"/>
    <x v="3"/>
    <x v="2"/>
    <x v="8"/>
    <x v="1"/>
  </r>
  <r>
    <s v="TX501544"/>
    <x v="3"/>
    <x v="0"/>
    <n v="44.2"/>
    <n v="44.2"/>
    <d v="2025-02-27T00:00:00"/>
    <d v="2025-03-02T00:00:00"/>
    <s v="F"/>
    <x v="1"/>
    <x v="0"/>
    <x v="0"/>
    <x v="3"/>
    <x v="2"/>
    <x v="8"/>
    <x v="2"/>
  </r>
  <r>
    <s v="TX501545"/>
    <x v="9"/>
    <x v="1"/>
    <n v="59.2"/>
    <n v="118.4"/>
    <d v="2025-02-27T00:00:00"/>
    <d v="2025-02-27T00:00:00"/>
    <s v="F"/>
    <x v="1"/>
    <x v="4"/>
    <x v="0"/>
    <x v="3"/>
    <x v="7"/>
    <x v="8"/>
    <x v="2"/>
  </r>
  <r>
    <s v="TX501546"/>
    <x v="15"/>
    <x v="12"/>
    <n v="41.5"/>
    <n v="166"/>
    <d v="2025-02-27T00:00:00"/>
    <d v="2025-03-01T00:00:00"/>
    <s v="F"/>
    <x v="0"/>
    <x v="0"/>
    <x v="0"/>
    <x v="16"/>
    <x v="1"/>
    <x v="8"/>
    <x v="2"/>
  </r>
  <r>
    <s v="TX501547"/>
    <x v="6"/>
    <x v="4"/>
    <n v="67.099999999999994"/>
    <n v="805.19999999999993"/>
    <d v="2025-02-27T00:00:00"/>
    <d v="2025-03-13T00:00:00"/>
    <s v="F"/>
    <x v="0"/>
    <x v="2"/>
    <x v="0"/>
    <x v="23"/>
    <x v="12"/>
    <x v="8"/>
    <x v="2"/>
  </r>
  <r>
    <s v="TX501548"/>
    <x v="8"/>
    <x v="1"/>
    <n v="28.7"/>
    <n v="57.4"/>
    <d v="2025-02-27T00:00:00"/>
    <d v="2025-03-03T00:00:00"/>
    <s v="F"/>
    <x v="1"/>
    <x v="0"/>
    <x v="0"/>
    <x v="6"/>
    <x v="5"/>
    <x v="8"/>
    <x v="2"/>
  </r>
  <r>
    <s v="TX501549"/>
    <x v="2"/>
    <x v="12"/>
    <n v="132.1"/>
    <n v="528.4"/>
    <d v="2025-02-27T00:00:00"/>
    <d v="2025-02-28T00:00:00"/>
    <s v="F"/>
    <x v="0"/>
    <x v="1"/>
    <x v="0"/>
    <x v="6"/>
    <x v="3"/>
    <x v="8"/>
    <x v="2"/>
  </r>
  <r>
    <s v="TX501550"/>
    <x v="18"/>
    <x v="1"/>
    <n v="47"/>
    <n v="94"/>
    <d v="2025-02-27T00:00:00"/>
    <d v="2025-03-01T00:00:00"/>
    <s v="M"/>
    <x v="4"/>
    <x v="0"/>
    <x v="0"/>
    <x v="8"/>
    <x v="1"/>
    <x v="8"/>
    <x v="1"/>
  </r>
  <r>
    <s v="TX501551"/>
    <x v="8"/>
    <x v="1"/>
    <n v="41.6"/>
    <n v="83.2"/>
    <d v="2025-02-27T00:00:00"/>
    <d v="2025-03-03T00:00:00"/>
    <s v="M"/>
    <x v="1"/>
    <x v="2"/>
    <x v="0"/>
    <x v="8"/>
    <x v="5"/>
    <x v="8"/>
    <x v="1"/>
  </r>
  <r>
    <s v="TX501552"/>
    <x v="8"/>
    <x v="43"/>
    <n v="17.3"/>
    <n v="657.4"/>
    <d v="2025-02-27T00:00:00"/>
    <d v="2025-03-01T00:00:00"/>
    <s v="M"/>
    <x v="2"/>
    <x v="2"/>
    <x v="0"/>
    <x v="8"/>
    <x v="1"/>
    <x v="8"/>
    <x v="1"/>
  </r>
  <r>
    <s v="TX501553"/>
    <x v="13"/>
    <x v="2"/>
    <n v="41.8"/>
    <n v="125.39999999999999"/>
    <d v="2025-02-27T00:00:00"/>
    <d v="2025-03-02T00:00:00"/>
    <s v="M"/>
    <x v="0"/>
    <x v="2"/>
    <x v="0"/>
    <x v="8"/>
    <x v="2"/>
    <x v="8"/>
    <x v="1"/>
  </r>
  <r>
    <s v="TX501554"/>
    <x v="10"/>
    <x v="0"/>
    <n v="24"/>
    <n v="24"/>
    <d v="2025-02-27T00:00:00"/>
    <d v="2025-02-28T00:00:00"/>
    <s v="F"/>
    <x v="0"/>
    <x v="0"/>
    <x v="0"/>
    <x v="17"/>
    <x v="3"/>
    <x v="8"/>
    <x v="2"/>
  </r>
  <r>
    <s v="TX501555"/>
    <x v="14"/>
    <x v="11"/>
    <n v="18.5"/>
    <n v="166.5"/>
    <d v="2025-02-27T00:00:00"/>
    <d v="2025-03-01T00:00:00"/>
    <s v="F"/>
    <x v="0"/>
    <x v="0"/>
    <x v="0"/>
    <x v="9"/>
    <x v="1"/>
    <x v="8"/>
    <x v="2"/>
  </r>
  <r>
    <s v="TX501556"/>
    <x v="3"/>
    <x v="4"/>
    <n v="66.7"/>
    <n v="800.40000000000009"/>
    <d v="2025-02-27T00:00:00"/>
    <d v="2025-03-02T00:00:00"/>
    <s v=""/>
    <x v="0"/>
    <x v="2"/>
    <x v="0"/>
    <x v="11"/>
    <x v="2"/>
    <x v="8"/>
    <x v="0"/>
  </r>
  <r>
    <s v="TX501557"/>
    <x v="1"/>
    <x v="12"/>
    <n v="33.1"/>
    <n v="132.4"/>
    <d v="2025-02-27T00:00:00"/>
    <d v="2025-03-04T00:00:00"/>
    <s v="M"/>
    <x v="3"/>
    <x v="0"/>
    <x v="0"/>
    <x v="11"/>
    <x v="0"/>
    <x v="8"/>
    <x v="1"/>
  </r>
  <r>
    <s v="TX501558"/>
    <x v="19"/>
    <x v="11"/>
    <n v="42.1"/>
    <n v="378.90000000000003"/>
    <d v="2025-02-27T00:00:00"/>
    <d v="2025-03-10T00:00:00"/>
    <s v="M"/>
    <x v="1"/>
    <x v="0"/>
    <x v="0"/>
    <x v="18"/>
    <x v="11"/>
    <x v="8"/>
    <x v="1"/>
  </r>
  <r>
    <s v="TX501559"/>
    <x v="18"/>
    <x v="3"/>
    <n v="58.7"/>
    <n v="410.90000000000003"/>
    <d v="2025-02-27T00:00:00"/>
    <d v="2025-02-27T00:00:00"/>
    <s v="O"/>
    <x v="3"/>
    <x v="0"/>
    <x v="0"/>
    <x v="31"/>
    <x v="7"/>
    <x v="8"/>
    <x v="3"/>
  </r>
  <r>
    <s v="TX501560"/>
    <x v="6"/>
    <x v="12"/>
    <n v="54"/>
    <n v="216"/>
    <d v="2025-02-27T00:00:00"/>
    <d v="2025-03-01T00:00:00"/>
    <s v="F"/>
    <x v="1"/>
    <x v="0"/>
    <x v="0"/>
    <x v="1"/>
    <x v="1"/>
    <x v="8"/>
    <x v="2"/>
  </r>
  <r>
    <s v="TX501561"/>
    <x v="8"/>
    <x v="0"/>
    <n v="52.1"/>
    <n v="52.1"/>
    <d v="2025-02-27T00:00:00"/>
    <d v="2025-02-28T00:00:00"/>
    <s v="F"/>
    <x v="2"/>
    <x v="2"/>
    <x v="0"/>
    <x v="2"/>
    <x v="3"/>
    <x v="8"/>
    <x v="2"/>
  </r>
  <r>
    <s v="TX501562"/>
    <x v="19"/>
    <x v="1"/>
    <n v="27"/>
    <n v="54"/>
    <d v="2025-02-27T00:00:00"/>
    <d v="2025-03-02T00:00:00"/>
    <s v="O"/>
    <x v="2"/>
    <x v="0"/>
    <x v="0"/>
    <x v="22"/>
    <x v="2"/>
    <x v="8"/>
    <x v="3"/>
  </r>
  <r>
    <s v="TX501563"/>
    <x v="12"/>
    <x v="7"/>
    <n v="31"/>
    <n v="310"/>
    <d v="2025-02-28T00:00:00"/>
    <d v="2025-03-01T00:00:00"/>
    <s v="F"/>
    <x v="3"/>
    <x v="2"/>
    <x v="0"/>
    <x v="22"/>
    <x v="3"/>
    <x v="8"/>
    <x v="2"/>
  </r>
  <r>
    <s v="TX501564"/>
    <x v="10"/>
    <x v="1"/>
    <n v="46.7"/>
    <n v="93.4"/>
    <d v="2025-02-28T00:00:00"/>
    <d v="2025-02-28T00:00:00"/>
    <s v="F"/>
    <x v="0"/>
    <x v="0"/>
    <x v="0"/>
    <x v="34"/>
    <x v="7"/>
    <x v="8"/>
    <x v="2"/>
  </r>
  <r>
    <s v="TX501565"/>
    <x v="6"/>
    <x v="0"/>
    <n v="144.69999999999999"/>
    <n v="144.69999999999999"/>
    <d v="2025-02-28T00:00:00"/>
    <d v="2025-03-03T00:00:00"/>
    <s v="M"/>
    <x v="0"/>
    <x v="2"/>
    <x v="0"/>
    <x v="3"/>
    <x v="2"/>
    <x v="8"/>
    <x v="1"/>
  </r>
  <r>
    <s v="TX501566"/>
    <x v="2"/>
    <x v="11"/>
    <n v="90.9"/>
    <n v="818.1"/>
    <d v="2025-02-28T00:00:00"/>
    <d v="2025-03-01T00:00:00"/>
    <s v="M"/>
    <x v="0"/>
    <x v="2"/>
    <x v="0"/>
    <x v="3"/>
    <x v="3"/>
    <x v="8"/>
    <x v="1"/>
  </r>
  <r>
    <s v="TX501567"/>
    <x v="1"/>
    <x v="1"/>
    <n v="75.8"/>
    <n v="151.6"/>
    <d v="2025-02-28T00:00:00"/>
    <d v="2025-03-01T00:00:00"/>
    <s v="F"/>
    <x v="2"/>
    <x v="1"/>
    <x v="0"/>
    <x v="3"/>
    <x v="3"/>
    <x v="8"/>
    <x v="2"/>
  </r>
  <r>
    <s v="TX501568"/>
    <x v="7"/>
    <x v="9"/>
    <n v="57.9"/>
    <n v="289.5"/>
    <d v="2025-02-28T00:00:00"/>
    <d v="2025-03-02T00:00:00"/>
    <s v="M"/>
    <x v="2"/>
    <x v="2"/>
    <x v="0"/>
    <x v="3"/>
    <x v="1"/>
    <x v="8"/>
    <x v="1"/>
  </r>
  <r>
    <s v="TX501569"/>
    <x v="8"/>
    <x v="9"/>
    <n v="44.8"/>
    <n v="224"/>
    <d v="2025-02-28T00:00:00"/>
    <d v="2025-03-01T00:00:00"/>
    <s v="F"/>
    <x v="3"/>
    <x v="2"/>
    <x v="0"/>
    <x v="3"/>
    <x v="3"/>
    <x v="8"/>
    <x v="2"/>
  </r>
  <r>
    <s v="TX501570"/>
    <x v="9"/>
    <x v="2"/>
    <n v="44.2"/>
    <n v="132.60000000000002"/>
    <d v="2025-02-28T00:00:00"/>
    <d v="2025-03-04T00:00:00"/>
    <s v="M"/>
    <x v="2"/>
    <x v="2"/>
    <x v="0"/>
    <x v="3"/>
    <x v="5"/>
    <x v="8"/>
    <x v="1"/>
  </r>
  <r>
    <s v="TX501571"/>
    <x v="5"/>
    <x v="9"/>
    <n v="53.5"/>
    <n v="267.5"/>
    <d v="2025-02-28T00:00:00"/>
    <d v="2025-03-02T00:00:00"/>
    <s v="M"/>
    <x v="0"/>
    <x v="0"/>
    <x v="0"/>
    <x v="37"/>
    <x v="1"/>
    <x v="8"/>
    <x v="1"/>
  </r>
  <r>
    <s v="TX501572"/>
    <x v="6"/>
    <x v="1"/>
    <n v="72.2"/>
    <n v="144.4"/>
    <d v="2025-02-28T00:00:00"/>
    <d v="2025-03-01T00:00:00"/>
    <s v="M"/>
    <x v="0"/>
    <x v="2"/>
    <x v="0"/>
    <x v="25"/>
    <x v="3"/>
    <x v="8"/>
    <x v="1"/>
  </r>
  <r>
    <s v="TX501573"/>
    <x v="6"/>
    <x v="12"/>
    <n v="62.4"/>
    <n v="249.6"/>
    <d v="2025-02-28T00:00:00"/>
    <d v="2025-03-03T00:00:00"/>
    <s v="F"/>
    <x v="0"/>
    <x v="1"/>
    <x v="0"/>
    <x v="23"/>
    <x v="2"/>
    <x v="8"/>
    <x v="2"/>
  </r>
  <r>
    <s v="TX501574"/>
    <x v="10"/>
    <x v="9"/>
    <n v="24.7"/>
    <n v="123.5"/>
    <d v="2025-02-28T00:00:00"/>
    <d v="2025-03-01T00:00:00"/>
    <s v="F"/>
    <x v="0"/>
    <x v="0"/>
    <x v="0"/>
    <x v="6"/>
    <x v="3"/>
    <x v="8"/>
    <x v="2"/>
  </r>
  <r>
    <s v="TX501575"/>
    <x v="1"/>
    <x v="9"/>
    <n v="61.7"/>
    <n v="308.5"/>
    <d v="2025-02-28T00:00:00"/>
    <d v="2025-03-02T00:00:00"/>
    <s v="F"/>
    <x v="2"/>
    <x v="0"/>
    <x v="0"/>
    <x v="8"/>
    <x v="1"/>
    <x v="8"/>
    <x v="2"/>
  </r>
  <r>
    <s v="TX501576"/>
    <x v="8"/>
    <x v="9"/>
    <n v="18.2"/>
    <n v="91"/>
    <d v="2025-02-28T00:00:00"/>
    <d v="2025-03-02T00:00:00"/>
    <s v="F"/>
    <x v="3"/>
    <x v="0"/>
    <x v="0"/>
    <x v="8"/>
    <x v="1"/>
    <x v="8"/>
    <x v="2"/>
  </r>
  <r>
    <s v="TX501577"/>
    <x v="10"/>
    <x v="12"/>
    <n v="37.200000000000003"/>
    <n v="148.80000000000001"/>
    <d v="2025-02-28T00:00:00"/>
    <d v="2025-03-06T00:00:00"/>
    <s v="F"/>
    <x v="0"/>
    <x v="0"/>
    <x v="0"/>
    <x v="8"/>
    <x v="4"/>
    <x v="8"/>
    <x v="2"/>
  </r>
  <r>
    <s v="TX501578"/>
    <x v="9"/>
    <x v="2"/>
    <n v="53.5"/>
    <n v="160.5"/>
    <d v="2025-02-28T00:00:00"/>
    <d v="2025-03-02T00:00:00"/>
    <s v="F"/>
    <x v="1"/>
    <x v="2"/>
    <x v="0"/>
    <x v="9"/>
    <x v="1"/>
    <x v="8"/>
    <x v="2"/>
  </r>
  <r>
    <s v="TX501579"/>
    <x v="8"/>
    <x v="2"/>
    <n v="43.6"/>
    <n v="130.80000000000001"/>
    <d v="2025-02-28T00:00:00"/>
    <d v="2025-02-28T00:00:00"/>
    <s v="F"/>
    <x v="0"/>
    <x v="0"/>
    <x v="0"/>
    <x v="9"/>
    <x v="7"/>
    <x v="8"/>
    <x v="2"/>
  </r>
  <r>
    <s v="TX501580"/>
    <x v="1"/>
    <x v="7"/>
    <n v="135"/>
    <n v="1350"/>
    <d v="2025-02-28T00:00:00"/>
    <d v="2025-03-02T00:00:00"/>
    <s v="F"/>
    <x v="0"/>
    <x v="2"/>
    <x v="0"/>
    <x v="9"/>
    <x v="1"/>
    <x v="8"/>
    <x v="2"/>
  </r>
  <r>
    <s v="TX501581"/>
    <x v="8"/>
    <x v="9"/>
    <n v="38.5"/>
    <n v="192.5"/>
    <d v="2025-02-28T00:00:00"/>
    <d v="2025-02-28T00:00:00"/>
    <s v="M"/>
    <x v="4"/>
    <x v="2"/>
    <x v="0"/>
    <x v="10"/>
    <x v="7"/>
    <x v="8"/>
    <x v="1"/>
  </r>
  <r>
    <s v="TX501582"/>
    <x v="9"/>
    <x v="1"/>
    <n v="24"/>
    <n v="48"/>
    <d v="2025-02-28T00:00:00"/>
    <d v="2025-03-05T00:00:00"/>
    <s v="F"/>
    <x v="0"/>
    <x v="0"/>
    <x v="0"/>
    <x v="11"/>
    <x v="0"/>
    <x v="8"/>
    <x v="2"/>
  </r>
  <r>
    <s v="TX501583"/>
    <x v="4"/>
    <x v="2"/>
    <n v="28.2"/>
    <n v="84.6"/>
    <d v="2025-02-28T00:00:00"/>
    <d v="2025-03-02T00:00:00"/>
    <s v="M"/>
    <x v="0"/>
    <x v="3"/>
    <x v="0"/>
    <x v="18"/>
    <x v="1"/>
    <x v="8"/>
    <x v="1"/>
  </r>
  <r>
    <s v="TX501584"/>
    <x v="7"/>
    <x v="2"/>
    <n v="37.4"/>
    <n v="112.19999999999999"/>
    <d v="2025-02-28T00:00:00"/>
    <d v="2025-03-01T00:00:00"/>
    <s v="F"/>
    <x v="3"/>
    <x v="0"/>
    <x v="0"/>
    <x v="1"/>
    <x v="3"/>
    <x v="8"/>
    <x v="2"/>
  </r>
  <r>
    <s v="TX501585"/>
    <x v="6"/>
    <x v="2"/>
    <n v="53.5"/>
    <n v="160.5"/>
    <d v="2025-02-28T00:00:00"/>
    <d v="2025-03-03T00:00:00"/>
    <s v=""/>
    <x v="4"/>
    <x v="4"/>
    <x v="0"/>
    <x v="1"/>
    <x v="2"/>
    <x v="8"/>
    <x v="0"/>
  </r>
  <r>
    <s v="TX501586"/>
    <x v="11"/>
    <x v="9"/>
    <n v="36.200000000000003"/>
    <n v="181"/>
    <d v="2025-02-28T00:00:00"/>
    <d v="2025-03-01T00:00:00"/>
    <s v="M"/>
    <x v="1"/>
    <x v="2"/>
    <x v="0"/>
    <x v="33"/>
    <x v="3"/>
    <x v="8"/>
    <x v="1"/>
  </r>
  <r>
    <s v="TX501587"/>
    <x v="0"/>
    <x v="8"/>
    <n v="31.9"/>
    <n v="255.2"/>
    <d v="2025-02-28T00:00:00"/>
    <d v="2025-03-01T00:00:00"/>
    <s v="F"/>
    <x v="4"/>
    <x v="0"/>
    <x v="0"/>
    <x v="3"/>
    <x v="3"/>
    <x v="8"/>
    <x v="2"/>
  </r>
  <r>
    <s v="TX501588"/>
    <x v="8"/>
    <x v="2"/>
    <n v="21.3"/>
    <n v="63.900000000000006"/>
    <d v="2025-02-28T00:00:00"/>
    <d v="2025-03-01T00:00:00"/>
    <s v="M"/>
    <x v="0"/>
    <x v="2"/>
    <x v="0"/>
    <x v="3"/>
    <x v="3"/>
    <x v="8"/>
    <x v="1"/>
  </r>
  <r>
    <s v="TX501589"/>
    <x v="8"/>
    <x v="0"/>
    <n v="36.299999999999997"/>
    <n v="36.299999999999997"/>
    <d v="2025-02-28T00:00:00"/>
    <d v="2025-03-02T00:00:00"/>
    <s v="O"/>
    <x v="4"/>
    <x v="0"/>
    <x v="0"/>
    <x v="3"/>
    <x v="1"/>
    <x v="8"/>
    <x v="3"/>
  </r>
  <r>
    <s v="TX501590"/>
    <x v="6"/>
    <x v="2"/>
    <n v="110.5"/>
    <n v="331.5"/>
    <d v="2025-02-28T00:00:00"/>
    <d v="2025-03-01T00:00:00"/>
    <s v="F"/>
    <x v="0"/>
    <x v="3"/>
    <x v="0"/>
    <x v="3"/>
    <x v="3"/>
    <x v="8"/>
    <x v="2"/>
  </r>
  <r>
    <s v="TX501591"/>
    <x v="10"/>
    <x v="3"/>
    <n v="32.6"/>
    <n v="228.20000000000002"/>
    <d v="2025-02-28T00:00:00"/>
    <d v="2025-03-02T00:00:00"/>
    <s v="F"/>
    <x v="0"/>
    <x v="1"/>
    <x v="0"/>
    <x v="3"/>
    <x v="1"/>
    <x v="8"/>
    <x v="2"/>
  </r>
  <r>
    <s v="TX501592"/>
    <x v="5"/>
    <x v="2"/>
    <n v="55.6"/>
    <n v="166.8"/>
    <d v="2025-03-01T00:00:00"/>
    <d v="2025-03-14T00:00:00"/>
    <s v="F"/>
    <x v="0"/>
    <x v="0"/>
    <x v="0"/>
    <x v="3"/>
    <x v="10"/>
    <x v="8"/>
    <x v="2"/>
  </r>
  <r>
    <s v="TX501593"/>
    <x v="1"/>
    <x v="12"/>
    <n v="38"/>
    <n v="152"/>
    <d v="2025-03-01T00:00:00"/>
    <d v="2025-03-02T00:00:00"/>
    <s v="F"/>
    <x v="3"/>
    <x v="2"/>
    <x v="0"/>
    <x v="5"/>
    <x v="3"/>
    <x v="8"/>
    <x v="2"/>
  </r>
  <r>
    <s v="TX501594"/>
    <x v="10"/>
    <x v="1"/>
    <n v="51.8"/>
    <n v="103.6"/>
    <d v="2025-03-01T00:00:00"/>
    <d v="2025-03-07T00:00:00"/>
    <s v="M"/>
    <x v="1"/>
    <x v="4"/>
    <x v="0"/>
    <x v="6"/>
    <x v="4"/>
    <x v="8"/>
    <x v="1"/>
  </r>
  <r>
    <s v="TX501595"/>
    <x v="11"/>
    <x v="8"/>
    <n v="28.7"/>
    <n v="229.6"/>
    <d v="2025-03-01T00:00:00"/>
    <d v="2025-03-06T00:00:00"/>
    <s v="F"/>
    <x v="0"/>
    <x v="0"/>
    <x v="0"/>
    <x v="6"/>
    <x v="0"/>
    <x v="8"/>
    <x v="2"/>
  </r>
  <r>
    <s v="TX501596"/>
    <x v="6"/>
    <x v="4"/>
    <n v="52.2"/>
    <n v="626.40000000000009"/>
    <d v="2025-03-01T00:00:00"/>
    <d v="2025-03-01T00:00:00"/>
    <s v="M"/>
    <x v="0"/>
    <x v="1"/>
    <x v="0"/>
    <x v="6"/>
    <x v="7"/>
    <x v="8"/>
    <x v="1"/>
  </r>
  <r>
    <s v="TX501597"/>
    <x v="1"/>
    <x v="1"/>
    <n v="68.2"/>
    <n v="136.4"/>
    <d v="2025-03-01T00:00:00"/>
    <d v="2025-03-02T00:00:00"/>
    <s v=""/>
    <x v="2"/>
    <x v="0"/>
    <x v="0"/>
    <x v="7"/>
    <x v="3"/>
    <x v="8"/>
    <x v="0"/>
  </r>
  <r>
    <s v="TX501598"/>
    <x v="0"/>
    <x v="2"/>
    <n v="34"/>
    <n v="102"/>
    <d v="2025-03-01T00:00:00"/>
    <d v="2025-03-05T00:00:00"/>
    <s v="F"/>
    <x v="0"/>
    <x v="0"/>
    <x v="0"/>
    <x v="8"/>
    <x v="5"/>
    <x v="8"/>
    <x v="2"/>
  </r>
  <r>
    <s v="TX501599"/>
    <x v="8"/>
    <x v="2"/>
    <n v="19.100000000000001"/>
    <n v="57.300000000000004"/>
    <d v="2025-03-01T00:00:00"/>
    <d v="2025-03-02T00:00:00"/>
    <s v="F"/>
    <x v="4"/>
    <x v="0"/>
    <x v="0"/>
    <x v="8"/>
    <x v="3"/>
    <x v="8"/>
    <x v="2"/>
  </r>
  <r>
    <s v="TX501600"/>
    <x v="5"/>
    <x v="8"/>
    <n v="34"/>
    <n v="272"/>
    <d v="2025-03-01T00:00:00"/>
    <d v="2025-03-09T00:00:00"/>
    <s v="F"/>
    <x v="4"/>
    <x v="0"/>
    <x v="0"/>
    <x v="8"/>
    <x v="9"/>
    <x v="8"/>
    <x v="2"/>
  </r>
  <r>
    <s v="TX501601"/>
    <x v="12"/>
    <x v="1"/>
    <n v="109.1"/>
    <n v="218.2"/>
    <d v="2025-03-01T00:00:00"/>
    <d v="2025-03-03T00:00:00"/>
    <s v="M"/>
    <x v="0"/>
    <x v="2"/>
    <x v="0"/>
    <x v="8"/>
    <x v="1"/>
    <x v="8"/>
    <x v="1"/>
  </r>
  <r>
    <s v="TX501602"/>
    <x v="18"/>
    <x v="1"/>
    <n v="64.8"/>
    <n v="129.6"/>
    <d v="2025-03-01T00:00:00"/>
    <d v="2025-03-03T00:00:00"/>
    <s v="M"/>
    <x v="0"/>
    <x v="2"/>
    <x v="0"/>
    <x v="8"/>
    <x v="1"/>
    <x v="8"/>
    <x v="1"/>
  </r>
  <r>
    <s v="TX501603"/>
    <x v="10"/>
    <x v="1"/>
    <n v="21.1"/>
    <n v="42.2"/>
    <d v="2025-03-01T00:00:00"/>
    <d v="2025-03-01T00:00:00"/>
    <s v="F"/>
    <x v="1"/>
    <x v="0"/>
    <x v="0"/>
    <x v="11"/>
    <x v="7"/>
    <x v="8"/>
    <x v="2"/>
  </r>
  <r>
    <s v="TX501604"/>
    <x v="0"/>
    <x v="8"/>
    <n v="21.3"/>
    <n v="170.4"/>
    <d v="2025-03-01T00:00:00"/>
    <d v="2025-03-03T00:00:00"/>
    <s v="M"/>
    <x v="3"/>
    <x v="1"/>
    <x v="0"/>
    <x v="18"/>
    <x v="1"/>
    <x v="8"/>
    <x v="1"/>
  </r>
  <r>
    <s v="TX501605"/>
    <x v="9"/>
    <x v="2"/>
    <n v="24.3"/>
    <n v="72.900000000000006"/>
    <d v="2025-03-01T00:00:00"/>
    <d v="2025-03-02T00:00:00"/>
    <s v="M"/>
    <x v="1"/>
    <x v="0"/>
    <x v="0"/>
    <x v="19"/>
    <x v="3"/>
    <x v="8"/>
    <x v="1"/>
  </r>
  <r>
    <s v="TX501606"/>
    <x v="8"/>
    <x v="0"/>
    <n v="43.3"/>
    <n v="43.3"/>
    <d v="2025-03-01T00:00:00"/>
    <d v="2025-03-05T00:00:00"/>
    <s v="M"/>
    <x v="1"/>
    <x v="1"/>
    <x v="0"/>
    <x v="13"/>
    <x v="5"/>
    <x v="8"/>
    <x v="1"/>
  </r>
  <r>
    <s v="TX501607"/>
    <x v="9"/>
    <x v="2"/>
    <n v="41"/>
    <n v="123"/>
    <d v="2025-03-01T00:00:00"/>
    <d v="2025-03-02T00:00:00"/>
    <s v="F"/>
    <x v="3"/>
    <x v="4"/>
    <x v="0"/>
    <x v="21"/>
    <x v="3"/>
    <x v="8"/>
    <x v="2"/>
  </r>
  <r>
    <s v="TX501608"/>
    <x v="16"/>
    <x v="2"/>
    <n v="54.1"/>
    <n v="162.30000000000001"/>
    <d v="2025-03-01T00:00:00"/>
    <d v="2025-03-03T00:00:00"/>
    <s v="F"/>
    <x v="4"/>
    <x v="0"/>
    <x v="0"/>
    <x v="21"/>
    <x v="1"/>
    <x v="8"/>
    <x v="2"/>
  </r>
  <r>
    <s v="TX501609"/>
    <x v="11"/>
    <x v="1"/>
    <n v="39"/>
    <n v="78"/>
    <d v="2025-03-01T00:00:00"/>
    <d v="2025-03-02T00:00:00"/>
    <s v="M"/>
    <x v="1"/>
    <x v="2"/>
    <x v="0"/>
    <x v="1"/>
    <x v="3"/>
    <x v="8"/>
    <x v="1"/>
  </r>
  <r>
    <s v="TX501610"/>
    <x v="8"/>
    <x v="1"/>
    <n v="40.299999999999997"/>
    <n v="80.599999999999994"/>
    <d v="2025-03-01T00:00:00"/>
    <d v="2025-03-03T00:00:00"/>
    <s v="M"/>
    <x v="3"/>
    <x v="0"/>
    <x v="0"/>
    <x v="27"/>
    <x v="1"/>
    <x v="8"/>
    <x v="1"/>
  </r>
  <r>
    <s v="TX501611"/>
    <x v="8"/>
    <x v="2"/>
    <n v="24.1"/>
    <n v="72.300000000000011"/>
    <d v="2025-03-01T00:00:00"/>
    <d v="2025-03-02T00:00:00"/>
    <s v="M"/>
    <x v="0"/>
    <x v="2"/>
    <x v="0"/>
    <x v="34"/>
    <x v="3"/>
    <x v="8"/>
    <x v="1"/>
  </r>
  <r>
    <s v="TX501612"/>
    <x v="6"/>
    <x v="9"/>
    <n v="52.3"/>
    <n v="261.5"/>
    <d v="2025-03-01T00:00:00"/>
    <d v="2025-03-02T00:00:00"/>
    <s v="M"/>
    <x v="2"/>
    <x v="0"/>
    <x v="0"/>
    <x v="3"/>
    <x v="3"/>
    <x v="8"/>
    <x v="1"/>
  </r>
  <r>
    <s v="TX501613"/>
    <x v="12"/>
    <x v="12"/>
    <n v="68.8"/>
    <n v="275.2"/>
    <d v="2025-03-01T00:00:00"/>
    <d v="2025-03-05T00:00:00"/>
    <s v="F"/>
    <x v="4"/>
    <x v="2"/>
    <x v="0"/>
    <x v="3"/>
    <x v="5"/>
    <x v="8"/>
    <x v="2"/>
  </r>
  <r>
    <s v="TX501614"/>
    <x v="2"/>
    <x v="1"/>
    <n v="128.80000000000001"/>
    <n v="257.60000000000002"/>
    <d v="2025-03-02T00:00:00"/>
    <d v="2025-03-05T00:00:00"/>
    <s v="F"/>
    <x v="1"/>
    <x v="1"/>
    <x v="0"/>
    <x v="3"/>
    <x v="2"/>
    <x v="9"/>
    <x v="2"/>
  </r>
  <r>
    <s v="TX501615"/>
    <x v="15"/>
    <x v="9"/>
    <n v="48.2"/>
    <n v="241"/>
    <d v="2025-03-02T00:00:00"/>
    <d v="2025-03-04T00:00:00"/>
    <s v="F"/>
    <x v="3"/>
    <x v="0"/>
    <x v="0"/>
    <x v="3"/>
    <x v="1"/>
    <x v="9"/>
    <x v="2"/>
  </r>
  <r>
    <s v="TX501616"/>
    <x v="10"/>
    <x v="0"/>
    <n v="39.700000000000003"/>
    <n v="39.700000000000003"/>
    <d v="2025-03-02T00:00:00"/>
    <d v="2025-03-04T00:00:00"/>
    <s v="F"/>
    <x v="0"/>
    <x v="1"/>
    <x v="0"/>
    <x v="3"/>
    <x v="1"/>
    <x v="9"/>
    <x v="2"/>
  </r>
  <r>
    <s v="TX501617"/>
    <x v="9"/>
    <x v="0"/>
    <n v="59.7"/>
    <n v="59.7"/>
    <d v="2025-03-02T00:00:00"/>
    <d v="2025-03-05T00:00:00"/>
    <s v="F"/>
    <x v="4"/>
    <x v="0"/>
    <x v="0"/>
    <x v="3"/>
    <x v="2"/>
    <x v="9"/>
    <x v="2"/>
  </r>
  <r>
    <s v="TX501618"/>
    <x v="6"/>
    <x v="0"/>
    <n v="48.3"/>
    <n v="48.3"/>
    <d v="2025-03-02T00:00:00"/>
    <d v="2025-03-16T00:00:00"/>
    <s v="O"/>
    <x v="0"/>
    <x v="2"/>
    <x v="0"/>
    <x v="3"/>
    <x v="12"/>
    <x v="9"/>
    <x v="3"/>
  </r>
  <r>
    <s v="TX501619"/>
    <x v="8"/>
    <x v="2"/>
    <n v="45.5"/>
    <n v="136.5"/>
    <d v="2025-03-02T00:00:00"/>
    <d v="2025-03-04T00:00:00"/>
    <s v="M"/>
    <x v="2"/>
    <x v="1"/>
    <x v="0"/>
    <x v="3"/>
    <x v="1"/>
    <x v="9"/>
    <x v="1"/>
  </r>
  <r>
    <s v="TX501620"/>
    <x v="9"/>
    <x v="6"/>
    <n v="51"/>
    <n v="1377"/>
    <d v="2025-03-02T00:00:00"/>
    <d v="2025-03-02T00:00:00"/>
    <s v="F"/>
    <x v="2"/>
    <x v="0"/>
    <x v="0"/>
    <x v="3"/>
    <x v="7"/>
    <x v="9"/>
    <x v="2"/>
  </r>
  <r>
    <s v="TX501621"/>
    <x v="4"/>
    <x v="13"/>
    <n v="20.399999999999999"/>
    <n v="122.39999999999999"/>
    <d v="2025-03-02T00:00:00"/>
    <d v="2025-03-03T00:00:00"/>
    <s v="M"/>
    <x v="2"/>
    <x v="0"/>
    <x v="0"/>
    <x v="3"/>
    <x v="3"/>
    <x v="9"/>
    <x v="1"/>
  </r>
  <r>
    <s v="TX501622"/>
    <x v="10"/>
    <x v="1"/>
    <n v="30.4"/>
    <n v="60.8"/>
    <d v="2025-03-02T00:00:00"/>
    <d v="2025-03-04T00:00:00"/>
    <s v="M"/>
    <x v="2"/>
    <x v="0"/>
    <x v="0"/>
    <x v="3"/>
    <x v="1"/>
    <x v="9"/>
    <x v="1"/>
  </r>
  <r>
    <s v="TX501623"/>
    <x v="7"/>
    <x v="1"/>
    <n v="71.5"/>
    <n v="143"/>
    <d v="2025-03-02T00:00:00"/>
    <d v="2025-03-06T00:00:00"/>
    <s v="F"/>
    <x v="0"/>
    <x v="0"/>
    <x v="0"/>
    <x v="3"/>
    <x v="5"/>
    <x v="9"/>
    <x v="2"/>
  </r>
  <r>
    <s v="TX501624"/>
    <x v="8"/>
    <x v="13"/>
    <n v="18"/>
    <n v="108"/>
    <d v="2025-03-02T00:00:00"/>
    <d v="2025-03-03T00:00:00"/>
    <s v="O"/>
    <x v="1"/>
    <x v="2"/>
    <x v="0"/>
    <x v="6"/>
    <x v="3"/>
    <x v="9"/>
    <x v="3"/>
  </r>
  <r>
    <s v="TX501625"/>
    <x v="15"/>
    <x v="5"/>
    <n v="45.6"/>
    <n v="501.6"/>
    <d v="2025-03-02T00:00:00"/>
    <d v="2025-03-03T00:00:00"/>
    <s v="O"/>
    <x v="1"/>
    <x v="1"/>
    <x v="0"/>
    <x v="7"/>
    <x v="3"/>
    <x v="9"/>
    <x v="3"/>
  </r>
  <r>
    <s v="TX501626"/>
    <x v="9"/>
    <x v="0"/>
    <n v="31.8"/>
    <n v="31.8"/>
    <d v="2025-03-02T00:00:00"/>
    <d v="2025-03-06T00:00:00"/>
    <s v="F"/>
    <x v="0"/>
    <x v="2"/>
    <x v="0"/>
    <x v="7"/>
    <x v="5"/>
    <x v="9"/>
    <x v="2"/>
  </r>
  <r>
    <s v="TX501627"/>
    <x v="8"/>
    <x v="9"/>
    <n v="19.899999999999999"/>
    <n v="99.5"/>
    <d v="2025-03-02T00:00:00"/>
    <d v="2025-03-03T00:00:00"/>
    <s v="F"/>
    <x v="1"/>
    <x v="0"/>
    <x v="0"/>
    <x v="7"/>
    <x v="3"/>
    <x v="9"/>
    <x v="2"/>
  </r>
  <r>
    <s v="TX501628"/>
    <x v="12"/>
    <x v="11"/>
    <n v="52.1"/>
    <n v="468.90000000000003"/>
    <d v="2025-03-02T00:00:00"/>
    <d v="2025-03-04T00:00:00"/>
    <s v="M"/>
    <x v="0"/>
    <x v="0"/>
    <x v="0"/>
    <x v="8"/>
    <x v="1"/>
    <x v="9"/>
    <x v="1"/>
  </r>
  <r>
    <s v="TX501629"/>
    <x v="1"/>
    <x v="3"/>
    <n v="45.9"/>
    <n v="321.3"/>
    <d v="2025-03-02T00:00:00"/>
    <d v="2025-03-03T00:00:00"/>
    <s v="M"/>
    <x v="0"/>
    <x v="1"/>
    <x v="0"/>
    <x v="8"/>
    <x v="3"/>
    <x v="9"/>
    <x v="1"/>
  </r>
  <r>
    <s v="TX501630"/>
    <x v="1"/>
    <x v="7"/>
    <n v="115.9"/>
    <n v="1159"/>
    <d v="2025-03-02T00:00:00"/>
    <d v="2025-03-05T00:00:00"/>
    <s v="F"/>
    <x v="1"/>
    <x v="0"/>
    <x v="0"/>
    <x v="8"/>
    <x v="2"/>
    <x v="9"/>
    <x v="2"/>
  </r>
  <r>
    <s v="TX501631"/>
    <x v="6"/>
    <x v="11"/>
    <n v="86"/>
    <n v="774"/>
    <d v="2025-03-02T00:00:00"/>
    <d v="2025-03-07T00:00:00"/>
    <s v="F"/>
    <x v="0"/>
    <x v="1"/>
    <x v="0"/>
    <x v="8"/>
    <x v="0"/>
    <x v="9"/>
    <x v="2"/>
  </r>
  <r>
    <s v="TX501632"/>
    <x v="7"/>
    <x v="3"/>
    <n v="73.599999999999994"/>
    <n v="515.19999999999993"/>
    <d v="2025-03-02T00:00:00"/>
    <d v="2025-03-04T00:00:00"/>
    <s v="F"/>
    <x v="0"/>
    <x v="0"/>
    <x v="0"/>
    <x v="17"/>
    <x v="1"/>
    <x v="9"/>
    <x v="2"/>
  </r>
  <r>
    <s v="TX501633"/>
    <x v="10"/>
    <x v="2"/>
    <n v="26.7"/>
    <n v="80.099999999999994"/>
    <d v="2025-03-02T00:00:00"/>
    <d v="2025-03-06T00:00:00"/>
    <s v="F"/>
    <x v="0"/>
    <x v="0"/>
    <x v="0"/>
    <x v="11"/>
    <x v="5"/>
    <x v="9"/>
    <x v="2"/>
  </r>
  <r>
    <s v="TX501634"/>
    <x v="8"/>
    <x v="3"/>
    <n v="46.6"/>
    <n v="326.2"/>
    <d v="2025-03-02T00:00:00"/>
    <d v="2025-03-04T00:00:00"/>
    <s v=""/>
    <x v="3"/>
    <x v="0"/>
    <x v="0"/>
    <x v="11"/>
    <x v="1"/>
    <x v="9"/>
    <x v="0"/>
  </r>
  <r>
    <s v="TX501635"/>
    <x v="3"/>
    <x v="2"/>
    <n v="84.6"/>
    <n v="253.79999999999998"/>
    <d v="2025-03-02T00:00:00"/>
    <d v="2025-03-04T00:00:00"/>
    <s v="M"/>
    <x v="4"/>
    <x v="0"/>
    <x v="0"/>
    <x v="11"/>
    <x v="1"/>
    <x v="9"/>
    <x v="1"/>
  </r>
  <r>
    <s v="TX501636"/>
    <x v="7"/>
    <x v="21"/>
    <n v="41.5"/>
    <n v="581"/>
    <d v="2025-03-02T00:00:00"/>
    <d v="2025-03-16T00:00:00"/>
    <s v="M"/>
    <x v="1"/>
    <x v="0"/>
    <x v="0"/>
    <x v="53"/>
    <x v="12"/>
    <x v="9"/>
    <x v="1"/>
  </r>
  <r>
    <s v="TX501637"/>
    <x v="8"/>
    <x v="0"/>
    <n v="32.799999999999997"/>
    <n v="32.799999999999997"/>
    <d v="2025-03-02T00:00:00"/>
    <d v="2025-03-05T00:00:00"/>
    <s v="M"/>
    <x v="0"/>
    <x v="2"/>
    <x v="0"/>
    <x v="30"/>
    <x v="2"/>
    <x v="9"/>
    <x v="1"/>
  </r>
  <r>
    <s v="TX501638"/>
    <x v="4"/>
    <x v="3"/>
    <n v="46.7"/>
    <n v="326.90000000000003"/>
    <d v="2025-03-02T00:00:00"/>
    <d v="2025-03-04T00:00:00"/>
    <s v="O"/>
    <x v="0"/>
    <x v="2"/>
    <x v="0"/>
    <x v="18"/>
    <x v="1"/>
    <x v="9"/>
    <x v="3"/>
  </r>
  <r>
    <s v="TX501639"/>
    <x v="15"/>
    <x v="3"/>
    <n v="21"/>
    <n v="147"/>
    <d v="2025-03-02T00:00:00"/>
    <d v="2025-03-05T00:00:00"/>
    <s v="M"/>
    <x v="2"/>
    <x v="1"/>
    <x v="0"/>
    <x v="21"/>
    <x v="2"/>
    <x v="9"/>
    <x v="1"/>
  </r>
  <r>
    <s v="TX501640"/>
    <x v="5"/>
    <x v="3"/>
    <n v="29.4"/>
    <n v="205.79999999999998"/>
    <d v="2025-03-02T00:00:00"/>
    <d v="2025-03-02T00:00:00"/>
    <s v="M"/>
    <x v="3"/>
    <x v="2"/>
    <x v="0"/>
    <x v="21"/>
    <x v="7"/>
    <x v="9"/>
    <x v="1"/>
  </r>
  <r>
    <s v="TX501641"/>
    <x v="15"/>
    <x v="1"/>
    <n v="32.299999999999997"/>
    <n v="64.599999999999994"/>
    <d v="2025-03-02T00:00:00"/>
    <d v="2025-03-03T00:00:00"/>
    <s v="M"/>
    <x v="0"/>
    <x v="2"/>
    <x v="0"/>
    <x v="21"/>
    <x v="3"/>
    <x v="9"/>
    <x v="1"/>
  </r>
  <r>
    <s v="TX501642"/>
    <x v="6"/>
    <x v="0"/>
    <n v="42.2"/>
    <n v="42.2"/>
    <d v="2025-03-03T00:00:00"/>
    <d v="2025-03-05T00:00:00"/>
    <s v="F"/>
    <x v="0"/>
    <x v="2"/>
    <x v="0"/>
    <x v="21"/>
    <x v="1"/>
    <x v="9"/>
    <x v="2"/>
  </r>
  <r>
    <s v="TX501643"/>
    <x v="6"/>
    <x v="0"/>
    <n v="53.7"/>
    <n v="53.7"/>
    <d v="2025-03-03T00:00:00"/>
    <d v="2025-03-05T00:00:00"/>
    <s v="M"/>
    <x v="1"/>
    <x v="1"/>
    <x v="0"/>
    <x v="1"/>
    <x v="1"/>
    <x v="9"/>
    <x v="1"/>
  </r>
  <r>
    <s v="TX501644"/>
    <x v="2"/>
    <x v="1"/>
    <n v="123.9"/>
    <n v="247.8"/>
    <d v="2025-03-03T00:00:00"/>
    <d v="2025-03-06T00:00:00"/>
    <s v="M"/>
    <x v="2"/>
    <x v="0"/>
    <x v="0"/>
    <x v="1"/>
    <x v="2"/>
    <x v="9"/>
    <x v="1"/>
  </r>
  <r>
    <s v="TX501645"/>
    <x v="4"/>
    <x v="2"/>
    <n v="35.9"/>
    <n v="107.69999999999999"/>
    <d v="2025-03-03T00:00:00"/>
    <d v="2025-03-05T00:00:00"/>
    <s v="M"/>
    <x v="2"/>
    <x v="0"/>
    <x v="0"/>
    <x v="22"/>
    <x v="1"/>
    <x v="9"/>
    <x v="1"/>
  </r>
  <r>
    <s v="TX501646"/>
    <x v="4"/>
    <x v="1"/>
    <n v="23.6"/>
    <n v="47.2"/>
    <d v="2025-03-03T00:00:00"/>
    <d v="2025-03-06T00:00:00"/>
    <s v="M"/>
    <x v="0"/>
    <x v="2"/>
    <x v="0"/>
    <x v="3"/>
    <x v="2"/>
    <x v="9"/>
    <x v="1"/>
  </r>
  <r>
    <s v="TX501647"/>
    <x v="15"/>
    <x v="36"/>
    <n v="45.7"/>
    <n v="1599.5"/>
    <d v="2025-03-03T00:00:00"/>
    <d v="2025-03-04T00:00:00"/>
    <s v="M"/>
    <x v="0"/>
    <x v="1"/>
    <x v="0"/>
    <x v="3"/>
    <x v="3"/>
    <x v="9"/>
    <x v="1"/>
  </r>
  <r>
    <s v="TX501648"/>
    <x v="6"/>
    <x v="5"/>
    <n v="118.3"/>
    <n v="1301.3"/>
    <d v="2025-03-03T00:00:00"/>
    <d v="2025-03-05T00:00:00"/>
    <s v="M"/>
    <x v="4"/>
    <x v="2"/>
    <x v="0"/>
    <x v="3"/>
    <x v="1"/>
    <x v="9"/>
    <x v="1"/>
  </r>
  <r>
    <s v="TX501649"/>
    <x v="19"/>
    <x v="0"/>
    <n v="36"/>
    <n v="36"/>
    <d v="2025-03-03T00:00:00"/>
    <d v="2025-03-04T00:00:00"/>
    <s v="F"/>
    <x v="0"/>
    <x v="1"/>
    <x v="0"/>
    <x v="3"/>
    <x v="3"/>
    <x v="9"/>
    <x v="2"/>
  </r>
  <r>
    <s v="TX501650"/>
    <x v="8"/>
    <x v="1"/>
    <n v="37.1"/>
    <n v="74.2"/>
    <d v="2025-03-03T00:00:00"/>
    <d v="2025-03-06T00:00:00"/>
    <s v="F"/>
    <x v="2"/>
    <x v="0"/>
    <x v="0"/>
    <x v="3"/>
    <x v="2"/>
    <x v="9"/>
    <x v="2"/>
  </r>
  <r>
    <s v="TX501651"/>
    <x v="18"/>
    <x v="2"/>
    <n v="45.1"/>
    <n v="135.30000000000001"/>
    <d v="2025-03-03T00:00:00"/>
    <d v="2025-03-05T00:00:00"/>
    <s v="F"/>
    <x v="1"/>
    <x v="2"/>
    <x v="0"/>
    <x v="3"/>
    <x v="1"/>
    <x v="9"/>
    <x v="2"/>
  </r>
  <r>
    <s v="TX501652"/>
    <x v="5"/>
    <x v="27"/>
    <n v="37.9"/>
    <n v="606.4"/>
    <d v="2025-03-03T00:00:00"/>
    <d v="2025-03-04T00:00:00"/>
    <s v="F"/>
    <x v="3"/>
    <x v="2"/>
    <x v="0"/>
    <x v="3"/>
    <x v="3"/>
    <x v="9"/>
    <x v="2"/>
  </r>
  <r>
    <s v="TX501653"/>
    <x v="2"/>
    <x v="1"/>
    <n v="121.6"/>
    <n v="243.2"/>
    <d v="2025-03-03T00:00:00"/>
    <d v="2025-03-06T00:00:00"/>
    <s v="M"/>
    <x v="3"/>
    <x v="2"/>
    <x v="0"/>
    <x v="3"/>
    <x v="2"/>
    <x v="9"/>
    <x v="1"/>
  </r>
  <r>
    <s v="TX501654"/>
    <x v="5"/>
    <x v="3"/>
    <n v="38.200000000000003"/>
    <n v="267.40000000000003"/>
    <d v="2025-03-03T00:00:00"/>
    <d v="2025-03-06T00:00:00"/>
    <s v="F"/>
    <x v="0"/>
    <x v="0"/>
    <x v="0"/>
    <x v="3"/>
    <x v="2"/>
    <x v="9"/>
    <x v="2"/>
  </r>
  <r>
    <s v="TX501655"/>
    <x v="17"/>
    <x v="1"/>
    <n v="37.200000000000003"/>
    <n v="74.400000000000006"/>
    <d v="2025-03-03T00:00:00"/>
    <d v="2025-03-06T00:00:00"/>
    <s v="M"/>
    <x v="4"/>
    <x v="0"/>
    <x v="0"/>
    <x v="3"/>
    <x v="2"/>
    <x v="9"/>
    <x v="1"/>
  </r>
  <r>
    <s v="TX501656"/>
    <x v="2"/>
    <x v="12"/>
    <n v="115.7"/>
    <n v="462.8"/>
    <d v="2025-03-03T00:00:00"/>
    <d v="2025-03-06T00:00:00"/>
    <s v="F"/>
    <x v="1"/>
    <x v="0"/>
    <x v="0"/>
    <x v="3"/>
    <x v="2"/>
    <x v="9"/>
    <x v="2"/>
  </r>
  <r>
    <s v="TX501657"/>
    <x v="2"/>
    <x v="13"/>
    <n v="99.4"/>
    <n v="596.40000000000009"/>
    <d v="2025-03-03T00:00:00"/>
    <d v="2025-03-06T00:00:00"/>
    <s v="M"/>
    <x v="0"/>
    <x v="2"/>
    <x v="0"/>
    <x v="3"/>
    <x v="2"/>
    <x v="9"/>
    <x v="1"/>
  </r>
  <r>
    <s v="TX501658"/>
    <x v="11"/>
    <x v="0"/>
    <n v="38.700000000000003"/>
    <n v="38.700000000000003"/>
    <d v="2025-03-03T00:00:00"/>
    <d v="2025-03-04T00:00:00"/>
    <s v="F"/>
    <x v="2"/>
    <x v="0"/>
    <x v="0"/>
    <x v="25"/>
    <x v="3"/>
    <x v="9"/>
    <x v="2"/>
  </r>
  <r>
    <s v="TX501659"/>
    <x v="4"/>
    <x v="1"/>
    <n v="35.5"/>
    <n v="71"/>
    <d v="2025-03-03T00:00:00"/>
    <d v="2025-03-06T00:00:00"/>
    <s v="M"/>
    <x v="0"/>
    <x v="2"/>
    <x v="0"/>
    <x v="25"/>
    <x v="2"/>
    <x v="9"/>
    <x v="1"/>
  </r>
  <r>
    <s v="TX501660"/>
    <x v="2"/>
    <x v="12"/>
    <n v="93.3"/>
    <n v="373.2"/>
    <d v="2025-03-03T00:00:00"/>
    <d v="2025-03-06T00:00:00"/>
    <s v="F"/>
    <x v="0"/>
    <x v="2"/>
    <x v="0"/>
    <x v="6"/>
    <x v="2"/>
    <x v="9"/>
    <x v="2"/>
  </r>
  <r>
    <s v="TX501661"/>
    <x v="16"/>
    <x v="0"/>
    <n v="31.4"/>
    <n v="31.4"/>
    <d v="2025-03-03T00:00:00"/>
    <d v="2025-03-08T00:00:00"/>
    <s v="F"/>
    <x v="2"/>
    <x v="2"/>
    <x v="0"/>
    <x v="6"/>
    <x v="0"/>
    <x v="9"/>
    <x v="2"/>
  </r>
  <r>
    <s v="TX501662"/>
    <x v="1"/>
    <x v="0"/>
    <n v="85.9"/>
    <n v="85.9"/>
    <d v="2025-03-03T00:00:00"/>
    <d v="2025-03-06T00:00:00"/>
    <s v="M"/>
    <x v="1"/>
    <x v="0"/>
    <x v="0"/>
    <x v="6"/>
    <x v="2"/>
    <x v="9"/>
    <x v="1"/>
  </r>
  <r>
    <s v="TX501663"/>
    <x v="6"/>
    <x v="8"/>
    <n v="41.7"/>
    <n v="333.6"/>
    <d v="2025-03-03T00:00:00"/>
    <d v="2025-03-11T00:00:00"/>
    <s v="M"/>
    <x v="0"/>
    <x v="2"/>
    <x v="0"/>
    <x v="7"/>
    <x v="9"/>
    <x v="9"/>
    <x v="1"/>
  </r>
  <r>
    <s v="TX501664"/>
    <x v="8"/>
    <x v="12"/>
    <n v="31.5"/>
    <n v="126"/>
    <d v="2025-03-03T00:00:00"/>
    <d v="2025-03-04T00:00:00"/>
    <s v="F"/>
    <x v="0"/>
    <x v="0"/>
    <x v="0"/>
    <x v="7"/>
    <x v="3"/>
    <x v="9"/>
    <x v="2"/>
  </r>
  <r>
    <s v="TX501665"/>
    <x v="8"/>
    <x v="1"/>
    <n v="36.299999999999997"/>
    <n v="72.599999999999994"/>
    <d v="2025-03-03T00:00:00"/>
    <d v="2025-03-04T00:00:00"/>
    <s v="F"/>
    <x v="0"/>
    <x v="4"/>
    <x v="0"/>
    <x v="8"/>
    <x v="3"/>
    <x v="9"/>
    <x v="2"/>
  </r>
  <r>
    <s v="TX501666"/>
    <x v="8"/>
    <x v="2"/>
    <n v="33.4"/>
    <n v="100.19999999999999"/>
    <d v="2025-03-03T00:00:00"/>
    <d v="2025-03-04T00:00:00"/>
    <s v="F"/>
    <x v="3"/>
    <x v="0"/>
    <x v="0"/>
    <x v="17"/>
    <x v="3"/>
    <x v="9"/>
    <x v="2"/>
  </r>
  <r>
    <s v="TX501667"/>
    <x v="2"/>
    <x v="2"/>
    <n v="65.2"/>
    <n v="195.60000000000002"/>
    <d v="2025-03-03T00:00:00"/>
    <d v="2025-03-04T00:00:00"/>
    <s v="F"/>
    <x v="2"/>
    <x v="2"/>
    <x v="0"/>
    <x v="26"/>
    <x v="3"/>
    <x v="9"/>
    <x v="2"/>
  </r>
  <r>
    <s v="TX501668"/>
    <x v="8"/>
    <x v="11"/>
    <n v="65.5"/>
    <n v="589.5"/>
    <d v="2025-03-03T00:00:00"/>
    <d v="2025-03-06T00:00:00"/>
    <s v="F"/>
    <x v="0"/>
    <x v="2"/>
    <x v="0"/>
    <x v="9"/>
    <x v="2"/>
    <x v="9"/>
    <x v="2"/>
  </r>
  <r>
    <s v="TX501669"/>
    <x v="6"/>
    <x v="2"/>
    <n v="52.8"/>
    <n v="158.39999999999998"/>
    <d v="2025-03-03T00:00:00"/>
    <d v="2025-03-06T00:00:00"/>
    <s v="M"/>
    <x v="2"/>
    <x v="0"/>
    <x v="0"/>
    <x v="9"/>
    <x v="2"/>
    <x v="9"/>
    <x v="1"/>
  </r>
  <r>
    <s v="TX501670"/>
    <x v="9"/>
    <x v="9"/>
    <n v="24"/>
    <n v="120"/>
    <d v="2025-03-03T00:00:00"/>
    <d v="2025-03-07T00:00:00"/>
    <s v="M"/>
    <x v="0"/>
    <x v="1"/>
    <x v="0"/>
    <x v="11"/>
    <x v="5"/>
    <x v="9"/>
    <x v="1"/>
  </r>
  <r>
    <s v="TX501671"/>
    <x v="3"/>
    <x v="2"/>
    <n v="51.2"/>
    <n v="153.60000000000002"/>
    <d v="2025-03-03T00:00:00"/>
    <d v="2025-03-04T00:00:00"/>
    <s v="F"/>
    <x v="0"/>
    <x v="0"/>
    <x v="0"/>
    <x v="32"/>
    <x v="3"/>
    <x v="9"/>
    <x v="2"/>
  </r>
  <r>
    <s v="TX501672"/>
    <x v="5"/>
    <x v="2"/>
    <n v="28.3"/>
    <n v="84.9"/>
    <d v="2025-03-03T00:00:00"/>
    <d v="2025-03-05T00:00:00"/>
    <s v="M"/>
    <x v="4"/>
    <x v="0"/>
    <x v="0"/>
    <x v="19"/>
    <x v="1"/>
    <x v="9"/>
    <x v="1"/>
  </r>
  <r>
    <s v="TX501673"/>
    <x v="6"/>
    <x v="2"/>
    <n v="42.3"/>
    <n v="126.89999999999999"/>
    <d v="2025-03-03T00:00:00"/>
    <d v="2025-03-03T00:00:00"/>
    <s v="F"/>
    <x v="2"/>
    <x v="1"/>
    <x v="0"/>
    <x v="19"/>
    <x v="7"/>
    <x v="9"/>
    <x v="2"/>
  </r>
  <r>
    <s v="TX501674"/>
    <x v="2"/>
    <x v="8"/>
    <n v="163.30000000000001"/>
    <n v="1306.4000000000001"/>
    <d v="2025-03-04T00:00:00"/>
    <d v="2025-03-05T00:00:00"/>
    <s v="F"/>
    <x v="1"/>
    <x v="0"/>
    <x v="0"/>
    <x v="13"/>
    <x v="3"/>
    <x v="9"/>
    <x v="2"/>
  </r>
  <r>
    <s v="TX501675"/>
    <x v="6"/>
    <x v="3"/>
    <n v="47.3"/>
    <n v="331.09999999999997"/>
    <d v="2025-03-04T00:00:00"/>
    <d v="2025-03-07T00:00:00"/>
    <s v="F"/>
    <x v="4"/>
    <x v="1"/>
    <x v="0"/>
    <x v="21"/>
    <x v="2"/>
    <x v="9"/>
    <x v="2"/>
  </r>
  <r>
    <s v="TX501676"/>
    <x v="8"/>
    <x v="27"/>
    <n v="27.3"/>
    <n v="436.8"/>
    <d v="2025-03-04T00:00:00"/>
    <d v="2025-03-05T00:00:00"/>
    <s v="F"/>
    <x v="2"/>
    <x v="0"/>
    <x v="0"/>
    <x v="21"/>
    <x v="3"/>
    <x v="9"/>
    <x v="2"/>
  </r>
  <r>
    <s v="TX501677"/>
    <x v="10"/>
    <x v="13"/>
    <n v="34.9"/>
    <n v="209.39999999999998"/>
    <d v="2025-03-04T00:00:00"/>
    <d v="2025-03-15T00:00:00"/>
    <s v="F"/>
    <x v="0"/>
    <x v="0"/>
    <x v="0"/>
    <x v="21"/>
    <x v="11"/>
    <x v="9"/>
    <x v="2"/>
  </r>
  <r>
    <s v="TX501678"/>
    <x v="6"/>
    <x v="1"/>
    <n v="53.9"/>
    <n v="107.8"/>
    <d v="2025-03-04T00:00:00"/>
    <d v="2025-03-07T00:00:00"/>
    <s v="O"/>
    <x v="0"/>
    <x v="4"/>
    <x v="0"/>
    <x v="1"/>
    <x v="2"/>
    <x v="9"/>
    <x v="3"/>
  </r>
  <r>
    <s v="TX501679"/>
    <x v="2"/>
    <x v="1"/>
    <n v="87.2"/>
    <n v="174.4"/>
    <d v="2025-03-04T00:00:00"/>
    <d v="2025-03-05T00:00:00"/>
    <s v="F"/>
    <x v="0"/>
    <x v="1"/>
    <x v="0"/>
    <x v="1"/>
    <x v="3"/>
    <x v="9"/>
    <x v="2"/>
  </r>
  <r>
    <s v="TX501680"/>
    <x v="15"/>
    <x v="0"/>
    <n v="58.8"/>
    <n v="58.8"/>
    <d v="2025-03-04T00:00:00"/>
    <d v="2025-03-06T00:00:00"/>
    <s v="F"/>
    <x v="2"/>
    <x v="0"/>
    <x v="0"/>
    <x v="44"/>
    <x v="1"/>
    <x v="9"/>
    <x v="2"/>
  </r>
  <r>
    <s v="TX501681"/>
    <x v="2"/>
    <x v="3"/>
    <n v="125.5"/>
    <n v="878.5"/>
    <d v="2025-03-04T00:00:00"/>
    <d v="2025-03-05T00:00:00"/>
    <s v="M"/>
    <x v="2"/>
    <x v="4"/>
    <x v="0"/>
    <x v="22"/>
    <x v="3"/>
    <x v="9"/>
    <x v="1"/>
  </r>
  <r>
    <s v="TX501682"/>
    <x v="1"/>
    <x v="12"/>
    <n v="124.6"/>
    <n v="498.4"/>
    <d v="2025-03-04T00:00:00"/>
    <d v="2025-03-06T00:00:00"/>
    <s v="F"/>
    <x v="0"/>
    <x v="1"/>
    <x v="0"/>
    <x v="22"/>
    <x v="1"/>
    <x v="9"/>
    <x v="2"/>
  </r>
  <r>
    <s v="TX501683"/>
    <x v="1"/>
    <x v="3"/>
    <n v="39.9"/>
    <n v="279.3"/>
    <d v="2025-03-04T00:00:00"/>
    <d v="2025-03-05T00:00:00"/>
    <s v="M"/>
    <x v="2"/>
    <x v="1"/>
    <x v="0"/>
    <x v="3"/>
    <x v="3"/>
    <x v="9"/>
    <x v="1"/>
  </r>
  <r>
    <s v="TX501684"/>
    <x v="6"/>
    <x v="0"/>
    <n v="94.6"/>
    <n v="94.6"/>
    <d v="2025-03-04T00:00:00"/>
    <d v="2025-03-18T00:00:00"/>
    <s v="F"/>
    <x v="0"/>
    <x v="1"/>
    <x v="0"/>
    <x v="3"/>
    <x v="12"/>
    <x v="9"/>
    <x v="2"/>
  </r>
  <r>
    <s v="TX501685"/>
    <x v="2"/>
    <x v="1"/>
    <n v="149.6"/>
    <n v="299.2"/>
    <d v="2025-03-04T00:00:00"/>
    <d v="2025-03-05T00:00:00"/>
    <s v="F"/>
    <x v="0"/>
    <x v="0"/>
    <x v="0"/>
    <x v="3"/>
    <x v="3"/>
    <x v="9"/>
    <x v="2"/>
  </r>
  <r>
    <s v="TX501686"/>
    <x v="8"/>
    <x v="0"/>
    <n v="52.2"/>
    <n v="52.2"/>
    <d v="2025-03-04T00:00:00"/>
    <d v="2025-03-05T00:00:00"/>
    <s v=""/>
    <x v="1"/>
    <x v="0"/>
    <x v="0"/>
    <x v="3"/>
    <x v="3"/>
    <x v="9"/>
    <x v="0"/>
  </r>
  <r>
    <s v="TX501687"/>
    <x v="6"/>
    <x v="1"/>
    <n v="96.5"/>
    <n v="193"/>
    <d v="2025-03-04T00:00:00"/>
    <d v="2025-03-05T00:00:00"/>
    <s v="F"/>
    <x v="1"/>
    <x v="1"/>
    <x v="0"/>
    <x v="3"/>
    <x v="3"/>
    <x v="9"/>
    <x v="2"/>
  </r>
  <r>
    <s v="TX501688"/>
    <x v="8"/>
    <x v="1"/>
    <n v="79.8"/>
    <n v="159.6"/>
    <d v="2025-03-04T00:00:00"/>
    <d v="2025-03-06T00:00:00"/>
    <s v="F"/>
    <x v="0"/>
    <x v="1"/>
    <x v="0"/>
    <x v="3"/>
    <x v="1"/>
    <x v="9"/>
    <x v="2"/>
  </r>
  <r>
    <s v="TX501689"/>
    <x v="8"/>
    <x v="2"/>
    <n v="35.6"/>
    <n v="106.80000000000001"/>
    <d v="2025-03-04T00:00:00"/>
    <d v="2025-03-05T00:00:00"/>
    <s v="F"/>
    <x v="2"/>
    <x v="0"/>
    <x v="0"/>
    <x v="3"/>
    <x v="3"/>
    <x v="9"/>
    <x v="2"/>
  </r>
  <r>
    <s v="TX501690"/>
    <x v="16"/>
    <x v="0"/>
    <n v="50.2"/>
    <n v="50.2"/>
    <d v="2025-03-04T00:00:00"/>
    <d v="2025-03-05T00:00:00"/>
    <s v="F"/>
    <x v="1"/>
    <x v="2"/>
    <x v="0"/>
    <x v="3"/>
    <x v="3"/>
    <x v="9"/>
    <x v="2"/>
  </r>
  <r>
    <s v="TX501691"/>
    <x v="1"/>
    <x v="2"/>
    <n v="55.3"/>
    <n v="165.89999999999998"/>
    <d v="2025-03-04T00:00:00"/>
    <d v="2025-03-07T00:00:00"/>
    <s v="F"/>
    <x v="0"/>
    <x v="4"/>
    <x v="0"/>
    <x v="40"/>
    <x v="2"/>
    <x v="9"/>
    <x v="2"/>
  </r>
  <r>
    <s v="TX501692"/>
    <x v="6"/>
    <x v="3"/>
    <n v="104.5"/>
    <n v="731.5"/>
    <d v="2025-03-04T00:00:00"/>
    <d v="2025-03-08T00:00:00"/>
    <s v="F"/>
    <x v="1"/>
    <x v="0"/>
    <x v="0"/>
    <x v="7"/>
    <x v="5"/>
    <x v="9"/>
    <x v="2"/>
  </r>
  <r>
    <s v="TX501693"/>
    <x v="6"/>
    <x v="12"/>
    <n v="66.5"/>
    <n v="266"/>
    <d v="2025-03-04T00:00:00"/>
    <d v="2025-03-06T00:00:00"/>
    <s v="M"/>
    <x v="1"/>
    <x v="0"/>
    <x v="0"/>
    <x v="7"/>
    <x v="1"/>
    <x v="9"/>
    <x v="1"/>
  </r>
  <r>
    <s v="TX501694"/>
    <x v="10"/>
    <x v="8"/>
    <n v="38.299999999999997"/>
    <n v="306.39999999999998"/>
    <d v="2025-03-04T00:00:00"/>
    <d v="2025-03-05T00:00:00"/>
    <s v="F"/>
    <x v="0"/>
    <x v="0"/>
    <x v="0"/>
    <x v="7"/>
    <x v="3"/>
    <x v="9"/>
    <x v="2"/>
  </r>
  <r>
    <s v="TX501695"/>
    <x v="6"/>
    <x v="2"/>
    <n v="63.8"/>
    <n v="191.39999999999998"/>
    <d v="2025-03-04T00:00:00"/>
    <d v="2025-03-07T00:00:00"/>
    <s v="F"/>
    <x v="1"/>
    <x v="0"/>
    <x v="0"/>
    <x v="8"/>
    <x v="2"/>
    <x v="9"/>
    <x v="2"/>
  </r>
  <r>
    <s v="TX501696"/>
    <x v="15"/>
    <x v="0"/>
    <n v="21.4"/>
    <n v="21.4"/>
    <d v="2025-03-04T00:00:00"/>
    <d v="2025-03-04T00:00:00"/>
    <s v="M"/>
    <x v="4"/>
    <x v="0"/>
    <x v="0"/>
    <x v="8"/>
    <x v="7"/>
    <x v="9"/>
    <x v="1"/>
  </r>
  <r>
    <s v="TX501697"/>
    <x v="8"/>
    <x v="12"/>
    <n v="44.1"/>
    <n v="176.4"/>
    <d v="2025-03-04T00:00:00"/>
    <d v="2025-03-06T00:00:00"/>
    <s v="F"/>
    <x v="2"/>
    <x v="0"/>
    <x v="0"/>
    <x v="8"/>
    <x v="1"/>
    <x v="9"/>
    <x v="2"/>
  </r>
  <r>
    <s v="TX501698"/>
    <x v="5"/>
    <x v="8"/>
    <n v="57.6"/>
    <n v="460.8"/>
    <d v="2025-03-04T00:00:00"/>
    <d v="2025-03-06T00:00:00"/>
    <s v="M"/>
    <x v="1"/>
    <x v="2"/>
    <x v="0"/>
    <x v="8"/>
    <x v="1"/>
    <x v="9"/>
    <x v="1"/>
  </r>
  <r>
    <s v="TX501699"/>
    <x v="9"/>
    <x v="1"/>
    <n v="20.3"/>
    <n v="40.6"/>
    <d v="2025-03-04T00:00:00"/>
    <d v="2025-03-10T00:00:00"/>
    <s v="F"/>
    <x v="3"/>
    <x v="0"/>
    <x v="0"/>
    <x v="8"/>
    <x v="4"/>
    <x v="9"/>
    <x v="2"/>
  </r>
  <r>
    <s v="TX501700"/>
    <x v="8"/>
    <x v="0"/>
    <n v="22.9"/>
    <n v="22.9"/>
    <d v="2025-03-04T00:00:00"/>
    <d v="2025-03-06T00:00:00"/>
    <s v="F"/>
    <x v="2"/>
    <x v="2"/>
    <x v="0"/>
    <x v="8"/>
    <x v="1"/>
    <x v="9"/>
    <x v="2"/>
  </r>
  <r>
    <s v="TX501701"/>
    <x v="6"/>
    <x v="12"/>
    <n v="105.9"/>
    <n v="423.6"/>
    <d v="2025-03-04T00:00:00"/>
    <d v="2025-03-05T00:00:00"/>
    <s v="F"/>
    <x v="1"/>
    <x v="2"/>
    <x v="0"/>
    <x v="17"/>
    <x v="3"/>
    <x v="9"/>
    <x v="2"/>
  </r>
  <r>
    <s v="TX501702"/>
    <x v="1"/>
    <x v="11"/>
    <n v="37.4"/>
    <n v="336.59999999999997"/>
    <d v="2025-03-04T00:00:00"/>
    <d v="2025-03-08T00:00:00"/>
    <s v="M"/>
    <x v="1"/>
    <x v="0"/>
    <x v="0"/>
    <x v="11"/>
    <x v="5"/>
    <x v="9"/>
    <x v="1"/>
  </r>
  <r>
    <s v="TX501703"/>
    <x v="18"/>
    <x v="1"/>
    <n v="79"/>
    <n v="158"/>
    <d v="2025-03-04T00:00:00"/>
    <d v="2025-03-05T00:00:00"/>
    <s v="M"/>
    <x v="2"/>
    <x v="0"/>
    <x v="0"/>
    <x v="28"/>
    <x v="3"/>
    <x v="9"/>
    <x v="1"/>
  </r>
  <r>
    <s v="TX501704"/>
    <x v="0"/>
    <x v="2"/>
    <n v="19.3"/>
    <n v="57.900000000000006"/>
    <d v="2025-03-04T00:00:00"/>
    <d v="2025-03-05T00:00:00"/>
    <s v="F"/>
    <x v="4"/>
    <x v="0"/>
    <x v="0"/>
    <x v="21"/>
    <x v="3"/>
    <x v="9"/>
    <x v="2"/>
  </r>
  <r>
    <s v="TX501705"/>
    <x v="0"/>
    <x v="0"/>
    <n v="24"/>
    <n v="24"/>
    <d v="2025-03-04T00:00:00"/>
    <d v="2025-03-05T00:00:00"/>
    <s v="F"/>
    <x v="1"/>
    <x v="0"/>
    <x v="0"/>
    <x v="1"/>
    <x v="3"/>
    <x v="9"/>
    <x v="2"/>
  </r>
  <r>
    <s v="TX501706"/>
    <x v="6"/>
    <x v="9"/>
    <n v="71.3"/>
    <n v="356.5"/>
    <d v="2025-03-04T00:00:00"/>
    <d v="2025-03-07T00:00:00"/>
    <s v="F"/>
    <x v="2"/>
    <x v="0"/>
    <x v="0"/>
    <x v="2"/>
    <x v="2"/>
    <x v="9"/>
    <x v="2"/>
  </r>
  <r>
    <s v="TX501707"/>
    <x v="5"/>
    <x v="1"/>
    <n v="166.2"/>
    <n v="332.4"/>
    <d v="2025-03-04T00:00:00"/>
    <d v="2025-03-05T00:00:00"/>
    <s v="M"/>
    <x v="0"/>
    <x v="2"/>
    <x v="0"/>
    <x v="50"/>
    <x v="3"/>
    <x v="9"/>
    <x v="1"/>
  </r>
  <r>
    <s v="TX501708"/>
    <x v="6"/>
    <x v="0"/>
    <n v="81"/>
    <n v="81"/>
    <d v="2025-03-04T00:00:00"/>
    <d v="2025-03-05T00:00:00"/>
    <s v="F"/>
    <x v="2"/>
    <x v="1"/>
    <x v="0"/>
    <x v="3"/>
    <x v="3"/>
    <x v="9"/>
    <x v="2"/>
  </r>
  <r>
    <s v="TX501709"/>
    <x v="10"/>
    <x v="13"/>
    <n v="38.5"/>
    <n v="231"/>
    <d v="2025-03-04T00:00:00"/>
    <d v="2025-03-08T00:00:00"/>
    <s v="F"/>
    <x v="0"/>
    <x v="0"/>
    <x v="0"/>
    <x v="3"/>
    <x v="5"/>
    <x v="9"/>
    <x v="2"/>
  </r>
  <r>
    <s v="TX501710"/>
    <x v="6"/>
    <x v="0"/>
    <n v="86.1"/>
    <n v="86.1"/>
    <d v="2025-03-04T00:00:00"/>
    <d v="2025-03-06T00:00:00"/>
    <s v="F"/>
    <x v="3"/>
    <x v="0"/>
    <x v="0"/>
    <x v="3"/>
    <x v="1"/>
    <x v="9"/>
    <x v="2"/>
  </r>
  <r>
    <s v="TX501711"/>
    <x v="2"/>
    <x v="9"/>
    <n v="51"/>
    <n v="255"/>
    <d v="2025-03-04T00:00:00"/>
    <d v="2025-03-05T00:00:00"/>
    <s v="M"/>
    <x v="0"/>
    <x v="1"/>
    <x v="0"/>
    <x v="3"/>
    <x v="3"/>
    <x v="9"/>
    <x v="1"/>
  </r>
  <r>
    <s v="TX501712"/>
    <x v="3"/>
    <x v="9"/>
    <n v="115.4"/>
    <n v="577"/>
    <d v="2025-03-04T00:00:00"/>
    <d v="2025-03-05T00:00:00"/>
    <s v="M"/>
    <x v="0"/>
    <x v="0"/>
    <x v="0"/>
    <x v="3"/>
    <x v="3"/>
    <x v="9"/>
    <x v="1"/>
  </r>
  <r>
    <s v="TX501713"/>
    <x v="6"/>
    <x v="12"/>
    <n v="176.5"/>
    <n v="706"/>
    <d v="2025-03-04T00:00:00"/>
    <d v="2025-03-05T00:00:00"/>
    <s v="F"/>
    <x v="2"/>
    <x v="2"/>
    <x v="0"/>
    <x v="3"/>
    <x v="3"/>
    <x v="9"/>
    <x v="2"/>
  </r>
  <r>
    <s v="TX501714"/>
    <x v="7"/>
    <x v="2"/>
    <n v="48.9"/>
    <n v="146.69999999999999"/>
    <d v="2025-03-04T00:00:00"/>
    <d v="2025-03-05T00:00:00"/>
    <s v="M"/>
    <x v="4"/>
    <x v="0"/>
    <x v="0"/>
    <x v="3"/>
    <x v="3"/>
    <x v="9"/>
    <x v="1"/>
  </r>
  <r>
    <s v="TX501715"/>
    <x v="8"/>
    <x v="2"/>
    <n v="18.100000000000001"/>
    <n v="54.300000000000004"/>
    <d v="2025-03-04T00:00:00"/>
    <d v="2025-03-11T00:00:00"/>
    <s v="F"/>
    <x v="1"/>
    <x v="2"/>
    <x v="0"/>
    <x v="29"/>
    <x v="6"/>
    <x v="9"/>
    <x v="2"/>
  </r>
  <r>
    <s v="TX501716"/>
    <x v="2"/>
    <x v="1"/>
    <n v="118.5"/>
    <n v="237"/>
    <d v="2025-03-04T00:00:00"/>
    <d v="2025-03-07T00:00:00"/>
    <s v="M"/>
    <x v="1"/>
    <x v="2"/>
    <x v="0"/>
    <x v="16"/>
    <x v="2"/>
    <x v="9"/>
    <x v="1"/>
  </r>
  <r>
    <s v="TX501717"/>
    <x v="15"/>
    <x v="3"/>
    <n v="59.1"/>
    <n v="413.7"/>
    <d v="2025-03-04T00:00:00"/>
    <d v="2025-03-05T00:00:00"/>
    <s v="F"/>
    <x v="3"/>
    <x v="0"/>
    <x v="0"/>
    <x v="25"/>
    <x v="3"/>
    <x v="9"/>
    <x v="2"/>
  </r>
  <r>
    <s v="TX501718"/>
    <x v="4"/>
    <x v="0"/>
    <n v="21.2"/>
    <n v="21.2"/>
    <d v="2025-03-04T00:00:00"/>
    <d v="2025-03-05T00:00:00"/>
    <s v="F"/>
    <x v="0"/>
    <x v="1"/>
    <x v="0"/>
    <x v="6"/>
    <x v="3"/>
    <x v="9"/>
    <x v="2"/>
  </r>
  <r>
    <s v="TX501719"/>
    <x v="6"/>
    <x v="1"/>
    <n v="68.8"/>
    <n v="137.6"/>
    <d v="2025-03-04T00:00:00"/>
    <d v="2025-03-09T00:00:00"/>
    <s v="F"/>
    <x v="3"/>
    <x v="2"/>
    <x v="0"/>
    <x v="6"/>
    <x v="0"/>
    <x v="9"/>
    <x v="2"/>
  </r>
  <r>
    <s v="TX501720"/>
    <x v="6"/>
    <x v="1"/>
    <n v="65.400000000000006"/>
    <n v="130.80000000000001"/>
    <d v="2025-03-04T00:00:00"/>
    <d v="2025-03-08T00:00:00"/>
    <s v="F"/>
    <x v="0"/>
    <x v="0"/>
    <x v="0"/>
    <x v="6"/>
    <x v="5"/>
    <x v="9"/>
    <x v="2"/>
  </r>
  <r>
    <s v="TX501721"/>
    <x v="12"/>
    <x v="9"/>
    <n v="66.3"/>
    <n v="331.5"/>
    <d v="2025-03-05T00:00:00"/>
    <d v="2025-03-08T00:00:00"/>
    <s v="F"/>
    <x v="4"/>
    <x v="0"/>
    <x v="0"/>
    <x v="6"/>
    <x v="2"/>
    <x v="9"/>
    <x v="2"/>
  </r>
  <r>
    <s v="TX501722"/>
    <x v="6"/>
    <x v="2"/>
    <n v="97.5"/>
    <n v="292.5"/>
    <d v="2025-03-05T00:00:00"/>
    <d v="2025-03-05T00:00:00"/>
    <s v="M"/>
    <x v="3"/>
    <x v="0"/>
    <x v="0"/>
    <x v="8"/>
    <x v="7"/>
    <x v="9"/>
    <x v="1"/>
  </r>
  <r>
    <s v="TX501723"/>
    <x v="1"/>
    <x v="1"/>
    <n v="44"/>
    <n v="88"/>
    <d v="2025-03-05T00:00:00"/>
    <d v="2025-03-08T00:00:00"/>
    <s v="F"/>
    <x v="1"/>
    <x v="2"/>
    <x v="0"/>
    <x v="8"/>
    <x v="2"/>
    <x v="9"/>
    <x v="2"/>
  </r>
  <r>
    <s v="TX501724"/>
    <x v="0"/>
    <x v="0"/>
    <n v="21.9"/>
    <n v="21.9"/>
    <d v="2025-03-05T00:00:00"/>
    <d v="2025-03-06T00:00:00"/>
    <s v="M"/>
    <x v="0"/>
    <x v="0"/>
    <x v="0"/>
    <x v="8"/>
    <x v="3"/>
    <x v="9"/>
    <x v="1"/>
  </r>
  <r>
    <s v="TX501725"/>
    <x v="4"/>
    <x v="3"/>
    <n v="21.5"/>
    <n v="150.5"/>
    <d v="2025-03-05T00:00:00"/>
    <d v="2025-03-07T00:00:00"/>
    <s v="F"/>
    <x v="1"/>
    <x v="2"/>
    <x v="0"/>
    <x v="9"/>
    <x v="1"/>
    <x v="9"/>
    <x v="2"/>
  </r>
  <r>
    <s v="TX501726"/>
    <x v="12"/>
    <x v="13"/>
    <n v="133"/>
    <n v="798"/>
    <d v="2025-03-05T00:00:00"/>
    <d v="2025-03-06T00:00:00"/>
    <s v="O"/>
    <x v="0"/>
    <x v="2"/>
    <x v="0"/>
    <x v="10"/>
    <x v="3"/>
    <x v="9"/>
    <x v="3"/>
  </r>
  <r>
    <s v="TX501727"/>
    <x v="8"/>
    <x v="1"/>
    <n v="47.7"/>
    <n v="95.4"/>
    <d v="2025-03-05T00:00:00"/>
    <d v="2025-03-09T00:00:00"/>
    <s v="M"/>
    <x v="0"/>
    <x v="2"/>
    <x v="0"/>
    <x v="10"/>
    <x v="5"/>
    <x v="9"/>
    <x v="1"/>
  </r>
  <r>
    <s v="TX501728"/>
    <x v="16"/>
    <x v="2"/>
    <n v="58.1"/>
    <n v="174.3"/>
    <d v="2025-03-05T00:00:00"/>
    <d v="2025-03-06T00:00:00"/>
    <s v="F"/>
    <x v="0"/>
    <x v="0"/>
    <x v="0"/>
    <x v="11"/>
    <x v="3"/>
    <x v="9"/>
    <x v="2"/>
  </r>
  <r>
    <s v="TX501729"/>
    <x v="12"/>
    <x v="12"/>
    <n v="66.599999999999994"/>
    <n v="266.39999999999998"/>
    <d v="2025-03-05T00:00:00"/>
    <d v="2025-03-06T00:00:00"/>
    <s v=""/>
    <x v="0"/>
    <x v="0"/>
    <x v="0"/>
    <x v="11"/>
    <x v="3"/>
    <x v="9"/>
    <x v="0"/>
  </r>
  <r>
    <s v="TX501730"/>
    <x v="9"/>
    <x v="0"/>
    <n v="24.1"/>
    <n v="24.1"/>
    <d v="2025-03-05T00:00:00"/>
    <d v="2025-03-08T00:00:00"/>
    <s v="M"/>
    <x v="2"/>
    <x v="1"/>
    <x v="0"/>
    <x v="19"/>
    <x v="2"/>
    <x v="9"/>
    <x v="1"/>
  </r>
  <r>
    <s v="TX501731"/>
    <x v="10"/>
    <x v="9"/>
    <n v="51.5"/>
    <n v="257.5"/>
    <d v="2025-03-05T00:00:00"/>
    <d v="2025-03-10T00:00:00"/>
    <s v="F"/>
    <x v="0"/>
    <x v="0"/>
    <x v="0"/>
    <x v="13"/>
    <x v="0"/>
    <x v="9"/>
    <x v="2"/>
  </r>
  <r>
    <s v="TX501732"/>
    <x v="0"/>
    <x v="5"/>
    <n v="25.8"/>
    <n v="283.8"/>
    <d v="2025-03-05T00:00:00"/>
    <d v="2025-03-09T00:00:00"/>
    <s v="F"/>
    <x v="3"/>
    <x v="4"/>
    <x v="0"/>
    <x v="21"/>
    <x v="5"/>
    <x v="9"/>
    <x v="2"/>
  </r>
  <r>
    <s v="TX501733"/>
    <x v="9"/>
    <x v="12"/>
    <n v="47.7"/>
    <n v="190.8"/>
    <d v="2025-03-05T00:00:00"/>
    <d v="2025-03-05T00:00:00"/>
    <s v="F"/>
    <x v="0"/>
    <x v="1"/>
    <x v="0"/>
    <x v="21"/>
    <x v="7"/>
    <x v="9"/>
    <x v="2"/>
  </r>
  <r>
    <s v="TX501734"/>
    <x v="7"/>
    <x v="9"/>
    <n v="73.599999999999994"/>
    <n v="368"/>
    <d v="2025-03-05T00:00:00"/>
    <d v="2025-03-09T00:00:00"/>
    <s v="M"/>
    <x v="1"/>
    <x v="0"/>
    <x v="0"/>
    <x v="21"/>
    <x v="5"/>
    <x v="9"/>
    <x v="1"/>
  </r>
  <r>
    <s v="TX501735"/>
    <x v="5"/>
    <x v="3"/>
    <n v="91.2"/>
    <n v="638.4"/>
    <d v="2025-03-05T00:00:00"/>
    <d v="2025-03-06T00:00:00"/>
    <s v="M"/>
    <x v="1"/>
    <x v="2"/>
    <x v="0"/>
    <x v="21"/>
    <x v="3"/>
    <x v="9"/>
    <x v="1"/>
  </r>
  <r>
    <s v="TX501736"/>
    <x v="1"/>
    <x v="8"/>
    <n v="36.200000000000003"/>
    <n v="289.60000000000002"/>
    <d v="2025-03-05T00:00:00"/>
    <d v="2025-03-05T00:00:00"/>
    <s v="M"/>
    <x v="2"/>
    <x v="2"/>
    <x v="0"/>
    <x v="1"/>
    <x v="7"/>
    <x v="9"/>
    <x v="1"/>
  </r>
  <r>
    <s v="TX501737"/>
    <x v="9"/>
    <x v="8"/>
    <n v="98"/>
    <n v="784"/>
    <d v="2025-03-05T00:00:00"/>
    <d v="2025-03-09T00:00:00"/>
    <s v="F"/>
    <x v="2"/>
    <x v="0"/>
    <x v="0"/>
    <x v="2"/>
    <x v="5"/>
    <x v="9"/>
    <x v="2"/>
  </r>
  <r>
    <s v="TX501738"/>
    <x v="1"/>
    <x v="8"/>
    <n v="43.6"/>
    <n v="348.8"/>
    <d v="2025-03-05T00:00:00"/>
    <d v="2025-03-06T00:00:00"/>
    <s v="F"/>
    <x v="2"/>
    <x v="0"/>
    <x v="0"/>
    <x v="22"/>
    <x v="3"/>
    <x v="9"/>
    <x v="2"/>
  </r>
  <r>
    <s v="TX501739"/>
    <x v="8"/>
    <x v="7"/>
    <n v="37.799999999999997"/>
    <n v="378"/>
    <d v="2025-03-05T00:00:00"/>
    <d v="2025-03-05T00:00:00"/>
    <s v="O"/>
    <x v="0"/>
    <x v="0"/>
    <x v="0"/>
    <x v="50"/>
    <x v="7"/>
    <x v="9"/>
    <x v="3"/>
  </r>
  <r>
    <s v="TX501740"/>
    <x v="17"/>
    <x v="9"/>
    <n v="63.7"/>
    <n v="318.5"/>
    <d v="2025-03-05T00:00:00"/>
    <d v="2025-03-08T00:00:00"/>
    <s v="F"/>
    <x v="2"/>
    <x v="1"/>
    <x v="0"/>
    <x v="3"/>
    <x v="2"/>
    <x v="9"/>
    <x v="2"/>
  </r>
  <r>
    <s v="TX501741"/>
    <x v="5"/>
    <x v="11"/>
    <n v="62.9"/>
    <n v="566.1"/>
    <d v="2025-03-05T00:00:00"/>
    <d v="2025-03-10T00:00:00"/>
    <s v="M"/>
    <x v="3"/>
    <x v="2"/>
    <x v="0"/>
    <x v="3"/>
    <x v="0"/>
    <x v="9"/>
    <x v="1"/>
  </r>
  <r>
    <s v="TX501742"/>
    <x v="6"/>
    <x v="3"/>
    <n v="61.7"/>
    <n v="431.90000000000003"/>
    <d v="2025-03-05T00:00:00"/>
    <d v="2025-03-08T00:00:00"/>
    <s v="F"/>
    <x v="2"/>
    <x v="2"/>
    <x v="0"/>
    <x v="3"/>
    <x v="2"/>
    <x v="9"/>
    <x v="2"/>
  </r>
  <r>
    <s v="TX501743"/>
    <x v="18"/>
    <x v="21"/>
    <n v="36.5"/>
    <n v="511"/>
    <d v="2025-03-05T00:00:00"/>
    <d v="2025-03-06T00:00:00"/>
    <s v="M"/>
    <x v="0"/>
    <x v="2"/>
    <x v="0"/>
    <x v="3"/>
    <x v="3"/>
    <x v="9"/>
    <x v="1"/>
  </r>
  <r>
    <s v="TX501744"/>
    <x v="11"/>
    <x v="2"/>
    <n v="98.6"/>
    <n v="295.79999999999995"/>
    <d v="2025-03-05T00:00:00"/>
    <d v="2025-03-08T00:00:00"/>
    <s v="O"/>
    <x v="0"/>
    <x v="4"/>
    <x v="0"/>
    <x v="3"/>
    <x v="2"/>
    <x v="9"/>
    <x v="3"/>
  </r>
  <r>
    <s v="TX501745"/>
    <x v="8"/>
    <x v="1"/>
    <n v="19.2"/>
    <n v="38.4"/>
    <d v="2025-03-05T00:00:00"/>
    <d v="2025-03-15T00:00:00"/>
    <s v="M"/>
    <x v="0"/>
    <x v="0"/>
    <x v="0"/>
    <x v="3"/>
    <x v="14"/>
    <x v="9"/>
    <x v="1"/>
  </r>
  <r>
    <s v="TX501746"/>
    <x v="3"/>
    <x v="13"/>
    <n v="55.6"/>
    <n v="333.6"/>
    <d v="2025-03-05T00:00:00"/>
    <d v="2025-03-09T00:00:00"/>
    <s v="F"/>
    <x v="0"/>
    <x v="2"/>
    <x v="0"/>
    <x v="3"/>
    <x v="5"/>
    <x v="9"/>
    <x v="2"/>
  </r>
  <r>
    <s v="TX501747"/>
    <x v="5"/>
    <x v="13"/>
    <n v="56.4"/>
    <n v="338.4"/>
    <d v="2025-03-05T00:00:00"/>
    <d v="2025-03-06T00:00:00"/>
    <s v="F"/>
    <x v="1"/>
    <x v="0"/>
    <x v="0"/>
    <x v="3"/>
    <x v="3"/>
    <x v="9"/>
    <x v="2"/>
  </r>
  <r>
    <s v="TX501748"/>
    <x v="4"/>
    <x v="8"/>
    <n v="43.1"/>
    <n v="344.8"/>
    <d v="2025-03-05T00:00:00"/>
    <d v="2025-03-09T00:00:00"/>
    <s v="F"/>
    <x v="4"/>
    <x v="0"/>
    <x v="0"/>
    <x v="3"/>
    <x v="5"/>
    <x v="9"/>
    <x v="2"/>
  </r>
  <r>
    <s v="TX501749"/>
    <x v="1"/>
    <x v="1"/>
    <n v="77.3"/>
    <n v="154.6"/>
    <d v="2025-03-05T00:00:00"/>
    <d v="2025-03-07T00:00:00"/>
    <s v="M"/>
    <x v="0"/>
    <x v="0"/>
    <x v="0"/>
    <x v="6"/>
    <x v="1"/>
    <x v="9"/>
    <x v="1"/>
  </r>
  <r>
    <s v="TX501750"/>
    <x v="9"/>
    <x v="8"/>
    <n v="38.299999999999997"/>
    <n v="306.39999999999998"/>
    <d v="2025-03-05T00:00:00"/>
    <d v="2025-03-06T00:00:00"/>
    <s v="M"/>
    <x v="0"/>
    <x v="0"/>
    <x v="0"/>
    <x v="7"/>
    <x v="3"/>
    <x v="9"/>
    <x v="1"/>
  </r>
  <r>
    <s v="TX501751"/>
    <x v="0"/>
    <x v="3"/>
    <n v="16.8"/>
    <n v="117.60000000000001"/>
    <d v="2025-03-05T00:00:00"/>
    <d v="2025-03-08T00:00:00"/>
    <s v="M"/>
    <x v="2"/>
    <x v="1"/>
    <x v="0"/>
    <x v="8"/>
    <x v="2"/>
    <x v="9"/>
    <x v="1"/>
  </r>
  <r>
    <s v="TX501752"/>
    <x v="2"/>
    <x v="2"/>
    <n v="63.2"/>
    <n v="189.60000000000002"/>
    <d v="2025-03-05T00:00:00"/>
    <d v="2025-03-06T00:00:00"/>
    <s v="F"/>
    <x v="0"/>
    <x v="2"/>
    <x v="0"/>
    <x v="8"/>
    <x v="3"/>
    <x v="9"/>
    <x v="2"/>
  </r>
  <r>
    <s v="TX501753"/>
    <x v="14"/>
    <x v="44"/>
    <n v="39.700000000000003"/>
    <n v="913.1"/>
    <d v="2025-03-05T00:00:00"/>
    <d v="2025-03-06T00:00:00"/>
    <s v="M"/>
    <x v="0"/>
    <x v="0"/>
    <x v="0"/>
    <x v="8"/>
    <x v="3"/>
    <x v="9"/>
    <x v="1"/>
  </r>
  <r>
    <s v="TX501754"/>
    <x v="10"/>
    <x v="2"/>
    <n v="45.8"/>
    <n v="137.39999999999998"/>
    <d v="2025-03-05T00:00:00"/>
    <d v="2025-03-06T00:00:00"/>
    <s v="F"/>
    <x v="1"/>
    <x v="2"/>
    <x v="0"/>
    <x v="8"/>
    <x v="3"/>
    <x v="9"/>
    <x v="2"/>
  </r>
  <r>
    <s v="TX501755"/>
    <x v="0"/>
    <x v="13"/>
    <n v="12.4"/>
    <n v="74.400000000000006"/>
    <d v="2025-03-05T00:00:00"/>
    <d v="2025-03-08T00:00:00"/>
    <s v="M"/>
    <x v="0"/>
    <x v="0"/>
    <x v="0"/>
    <x v="8"/>
    <x v="2"/>
    <x v="9"/>
    <x v="1"/>
  </r>
  <r>
    <s v="TX501756"/>
    <x v="14"/>
    <x v="2"/>
    <n v="50.8"/>
    <n v="152.39999999999998"/>
    <d v="2025-03-06T00:00:00"/>
    <d v="2025-03-06T00:00:00"/>
    <s v="F"/>
    <x v="4"/>
    <x v="0"/>
    <x v="0"/>
    <x v="17"/>
    <x v="7"/>
    <x v="9"/>
    <x v="2"/>
  </r>
  <r>
    <s v="TX501757"/>
    <x v="9"/>
    <x v="0"/>
    <n v="76"/>
    <n v="76"/>
    <d v="2025-03-06T00:00:00"/>
    <d v="2025-03-10T00:00:00"/>
    <s v="O"/>
    <x v="2"/>
    <x v="2"/>
    <x v="0"/>
    <x v="17"/>
    <x v="5"/>
    <x v="9"/>
    <x v="3"/>
  </r>
  <r>
    <s v="TX501758"/>
    <x v="1"/>
    <x v="1"/>
    <n v="51.9"/>
    <n v="103.8"/>
    <d v="2025-03-06T00:00:00"/>
    <d v="2025-03-07T00:00:00"/>
    <s v="M"/>
    <x v="1"/>
    <x v="2"/>
    <x v="0"/>
    <x v="26"/>
    <x v="3"/>
    <x v="9"/>
    <x v="1"/>
  </r>
  <r>
    <s v="TX501759"/>
    <x v="2"/>
    <x v="1"/>
    <n v="93.4"/>
    <n v="186.8"/>
    <d v="2025-03-06T00:00:00"/>
    <d v="2025-03-13T00:00:00"/>
    <s v="M"/>
    <x v="0"/>
    <x v="3"/>
    <x v="0"/>
    <x v="11"/>
    <x v="6"/>
    <x v="9"/>
    <x v="1"/>
  </r>
  <r>
    <s v="TX501760"/>
    <x v="7"/>
    <x v="13"/>
    <n v="30.8"/>
    <n v="184.8"/>
    <d v="2025-03-06T00:00:00"/>
    <d v="2025-03-09T00:00:00"/>
    <s v="F"/>
    <x v="1"/>
    <x v="0"/>
    <x v="0"/>
    <x v="11"/>
    <x v="2"/>
    <x v="9"/>
    <x v="2"/>
  </r>
  <r>
    <s v="TX501761"/>
    <x v="2"/>
    <x v="0"/>
    <n v="143.19999999999999"/>
    <n v="143.19999999999999"/>
    <d v="2025-03-06T00:00:00"/>
    <d v="2025-03-09T00:00:00"/>
    <s v="M"/>
    <x v="2"/>
    <x v="0"/>
    <x v="0"/>
    <x v="11"/>
    <x v="2"/>
    <x v="9"/>
    <x v="1"/>
  </r>
  <r>
    <s v="TX501762"/>
    <x v="6"/>
    <x v="5"/>
    <n v="40.4"/>
    <n v="444.4"/>
    <d v="2025-03-06T00:00:00"/>
    <d v="2025-03-08T00:00:00"/>
    <s v="M"/>
    <x v="2"/>
    <x v="2"/>
    <x v="0"/>
    <x v="18"/>
    <x v="1"/>
    <x v="9"/>
    <x v="1"/>
  </r>
  <r>
    <s v="TX501763"/>
    <x v="2"/>
    <x v="10"/>
    <n v="131.5"/>
    <n v="2498.5"/>
    <d v="2025-03-06T00:00:00"/>
    <d v="2025-03-08T00:00:00"/>
    <s v="M"/>
    <x v="1"/>
    <x v="1"/>
    <x v="0"/>
    <x v="18"/>
    <x v="1"/>
    <x v="9"/>
    <x v="1"/>
  </r>
  <r>
    <s v="TX501764"/>
    <x v="18"/>
    <x v="3"/>
    <n v="61.6"/>
    <n v="431.2"/>
    <d v="2025-03-06T00:00:00"/>
    <d v="2025-03-07T00:00:00"/>
    <s v="M"/>
    <x v="2"/>
    <x v="0"/>
    <x v="0"/>
    <x v="21"/>
    <x v="3"/>
    <x v="9"/>
    <x v="1"/>
  </r>
  <r>
    <s v="TX501765"/>
    <x v="9"/>
    <x v="9"/>
    <n v="32.700000000000003"/>
    <n v="163.5"/>
    <d v="2025-03-06T00:00:00"/>
    <d v="2025-03-08T00:00:00"/>
    <s v="M"/>
    <x v="2"/>
    <x v="0"/>
    <x v="0"/>
    <x v="1"/>
    <x v="1"/>
    <x v="9"/>
    <x v="1"/>
  </r>
  <r>
    <s v="TX501766"/>
    <x v="0"/>
    <x v="7"/>
    <n v="13.7"/>
    <n v="137"/>
    <d v="2025-03-06T00:00:00"/>
    <d v="2025-03-07T00:00:00"/>
    <s v="M"/>
    <x v="0"/>
    <x v="2"/>
    <x v="0"/>
    <x v="3"/>
    <x v="3"/>
    <x v="9"/>
    <x v="1"/>
  </r>
  <r>
    <s v="TX501767"/>
    <x v="0"/>
    <x v="12"/>
    <n v="32.1"/>
    <n v="128.4"/>
    <d v="2025-03-06T00:00:00"/>
    <d v="2025-03-07T00:00:00"/>
    <s v="M"/>
    <x v="4"/>
    <x v="1"/>
    <x v="0"/>
    <x v="3"/>
    <x v="3"/>
    <x v="9"/>
    <x v="1"/>
  </r>
  <r>
    <s v="TX501768"/>
    <x v="14"/>
    <x v="8"/>
    <n v="12"/>
    <n v="96"/>
    <d v="2025-03-06T00:00:00"/>
    <d v="2025-03-07T00:00:00"/>
    <s v="M"/>
    <x v="1"/>
    <x v="0"/>
    <x v="0"/>
    <x v="24"/>
    <x v="3"/>
    <x v="9"/>
    <x v="1"/>
  </r>
  <r>
    <s v="TX501769"/>
    <x v="12"/>
    <x v="0"/>
    <n v="64.3"/>
    <n v="64.3"/>
    <d v="2025-03-06T00:00:00"/>
    <d v="2025-03-08T00:00:00"/>
    <s v="F"/>
    <x v="2"/>
    <x v="2"/>
    <x v="0"/>
    <x v="6"/>
    <x v="1"/>
    <x v="9"/>
    <x v="2"/>
  </r>
  <r>
    <s v="TX501770"/>
    <x v="1"/>
    <x v="2"/>
    <n v="58.2"/>
    <n v="174.60000000000002"/>
    <d v="2025-03-06T00:00:00"/>
    <d v="2025-03-08T00:00:00"/>
    <s v="F"/>
    <x v="1"/>
    <x v="2"/>
    <x v="0"/>
    <x v="6"/>
    <x v="1"/>
    <x v="9"/>
    <x v="2"/>
  </r>
  <r>
    <s v="TX501771"/>
    <x v="6"/>
    <x v="12"/>
    <n v="59.2"/>
    <n v="236.8"/>
    <d v="2025-03-06T00:00:00"/>
    <d v="2025-03-06T00:00:00"/>
    <s v="M"/>
    <x v="1"/>
    <x v="2"/>
    <x v="0"/>
    <x v="6"/>
    <x v="7"/>
    <x v="9"/>
    <x v="1"/>
  </r>
  <r>
    <s v="TX501772"/>
    <x v="10"/>
    <x v="5"/>
    <n v="35.6"/>
    <n v="391.6"/>
    <d v="2025-03-06T00:00:00"/>
    <d v="2025-03-13T00:00:00"/>
    <s v="M"/>
    <x v="0"/>
    <x v="2"/>
    <x v="0"/>
    <x v="8"/>
    <x v="6"/>
    <x v="9"/>
    <x v="1"/>
  </r>
  <r>
    <s v="TX501773"/>
    <x v="16"/>
    <x v="8"/>
    <n v="37"/>
    <n v="296"/>
    <d v="2025-03-06T00:00:00"/>
    <d v="2025-03-10T00:00:00"/>
    <s v="F"/>
    <x v="2"/>
    <x v="1"/>
    <x v="0"/>
    <x v="8"/>
    <x v="5"/>
    <x v="9"/>
    <x v="2"/>
  </r>
  <r>
    <s v="TX501774"/>
    <x v="1"/>
    <x v="15"/>
    <n v="80.8"/>
    <n v="1050.3999999999999"/>
    <d v="2025-03-06T00:00:00"/>
    <d v="2025-03-08T00:00:00"/>
    <s v="F"/>
    <x v="0"/>
    <x v="0"/>
    <x v="0"/>
    <x v="8"/>
    <x v="1"/>
    <x v="9"/>
    <x v="2"/>
  </r>
  <r>
    <s v="TX501775"/>
    <x v="8"/>
    <x v="1"/>
    <n v="63.2"/>
    <n v="126.4"/>
    <d v="2025-03-06T00:00:00"/>
    <d v="2025-03-07T00:00:00"/>
    <s v="M"/>
    <x v="0"/>
    <x v="1"/>
    <x v="0"/>
    <x v="8"/>
    <x v="3"/>
    <x v="9"/>
    <x v="1"/>
  </r>
  <r>
    <s v="TX501776"/>
    <x v="3"/>
    <x v="1"/>
    <n v="40.799999999999997"/>
    <n v="81.599999999999994"/>
    <d v="2025-03-06T00:00:00"/>
    <d v="2025-03-08T00:00:00"/>
    <s v="M"/>
    <x v="0"/>
    <x v="1"/>
    <x v="0"/>
    <x v="17"/>
    <x v="1"/>
    <x v="9"/>
    <x v="1"/>
  </r>
  <r>
    <s v="TX501777"/>
    <x v="13"/>
    <x v="13"/>
    <n v="25.7"/>
    <n v="154.19999999999999"/>
    <d v="2025-03-06T00:00:00"/>
    <d v="2025-03-08T00:00:00"/>
    <s v="M"/>
    <x v="4"/>
    <x v="0"/>
    <x v="0"/>
    <x v="18"/>
    <x v="1"/>
    <x v="9"/>
    <x v="1"/>
  </r>
  <r>
    <s v="TX501778"/>
    <x v="16"/>
    <x v="1"/>
    <n v="49.9"/>
    <n v="99.8"/>
    <d v="2025-03-06T00:00:00"/>
    <d v="2025-03-09T00:00:00"/>
    <s v="M"/>
    <x v="0"/>
    <x v="0"/>
    <x v="0"/>
    <x v="20"/>
    <x v="2"/>
    <x v="9"/>
    <x v="1"/>
  </r>
  <r>
    <s v="TX501779"/>
    <x v="8"/>
    <x v="1"/>
    <n v="20.2"/>
    <n v="40.4"/>
    <d v="2025-03-06T00:00:00"/>
    <d v="2025-03-08T00:00:00"/>
    <s v="F"/>
    <x v="3"/>
    <x v="0"/>
    <x v="0"/>
    <x v="21"/>
    <x v="1"/>
    <x v="9"/>
    <x v="2"/>
  </r>
  <r>
    <s v="TX501780"/>
    <x v="6"/>
    <x v="2"/>
    <n v="48.4"/>
    <n v="145.19999999999999"/>
    <d v="2025-03-06T00:00:00"/>
    <d v="2025-03-11T00:00:00"/>
    <s v="F"/>
    <x v="0"/>
    <x v="2"/>
    <x v="0"/>
    <x v="21"/>
    <x v="0"/>
    <x v="9"/>
    <x v="2"/>
  </r>
  <r>
    <s v="TX501781"/>
    <x v="6"/>
    <x v="1"/>
    <n v="81"/>
    <n v="162"/>
    <d v="2025-03-06T00:00:00"/>
    <d v="2025-03-07T00:00:00"/>
    <s v="F"/>
    <x v="1"/>
    <x v="2"/>
    <x v="0"/>
    <x v="21"/>
    <x v="3"/>
    <x v="9"/>
    <x v="2"/>
  </r>
  <r>
    <s v="TX501782"/>
    <x v="8"/>
    <x v="13"/>
    <n v="19.899999999999999"/>
    <n v="119.39999999999999"/>
    <d v="2025-03-06T00:00:00"/>
    <d v="2025-03-09T00:00:00"/>
    <s v="F"/>
    <x v="0"/>
    <x v="1"/>
    <x v="0"/>
    <x v="22"/>
    <x v="2"/>
    <x v="9"/>
    <x v="2"/>
  </r>
  <r>
    <s v="TX501783"/>
    <x v="4"/>
    <x v="12"/>
    <n v="32.200000000000003"/>
    <n v="128.80000000000001"/>
    <d v="2025-03-06T00:00:00"/>
    <d v="2025-03-16T00:00:00"/>
    <s v="M"/>
    <x v="0"/>
    <x v="0"/>
    <x v="0"/>
    <x v="22"/>
    <x v="14"/>
    <x v="9"/>
    <x v="1"/>
  </r>
  <r>
    <s v="TX501784"/>
    <x v="5"/>
    <x v="2"/>
    <n v="76.8"/>
    <n v="230.39999999999998"/>
    <d v="2025-03-06T00:00:00"/>
    <d v="2025-03-07T00:00:00"/>
    <s v="F"/>
    <x v="0"/>
    <x v="1"/>
    <x v="0"/>
    <x v="3"/>
    <x v="3"/>
    <x v="9"/>
    <x v="2"/>
  </r>
  <r>
    <s v="TX501785"/>
    <x v="6"/>
    <x v="1"/>
    <n v="41.9"/>
    <n v="83.8"/>
    <d v="2025-03-06T00:00:00"/>
    <d v="2025-03-08T00:00:00"/>
    <s v="F"/>
    <x v="0"/>
    <x v="0"/>
    <x v="0"/>
    <x v="3"/>
    <x v="1"/>
    <x v="9"/>
    <x v="2"/>
  </r>
  <r>
    <s v="TX501786"/>
    <x v="0"/>
    <x v="3"/>
    <n v="34"/>
    <n v="238"/>
    <d v="2025-03-06T00:00:00"/>
    <d v="2025-03-08T00:00:00"/>
    <s v="F"/>
    <x v="1"/>
    <x v="2"/>
    <x v="0"/>
    <x v="3"/>
    <x v="1"/>
    <x v="9"/>
    <x v="2"/>
  </r>
  <r>
    <s v="TX501787"/>
    <x v="7"/>
    <x v="3"/>
    <n v="61.3"/>
    <n v="429.09999999999997"/>
    <d v="2025-03-06T00:00:00"/>
    <d v="2025-03-06T00:00:00"/>
    <s v="F"/>
    <x v="4"/>
    <x v="2"/>
    <x v="0"/>
    <x v="3"/>
    <x v="7"/>
    <x v="9"/>
    <x v="2"/>
  </r>
  <r>
    <s v="TX501788"/>
    <x v="9"/>
    <x v="0"/>
    <n v="54.7"/>
    <n v="54.7"/>
    <d v="2025-03-07T00:00:00"/>
    <d v="2025-03-08T00:00:00"/>
    <s v="M"/>
    <x v="0"/>
    <x v="1"/>
    <x v="0"/>
    <x v="3"/>
    <x v="3"/>
    <x v="9"/>
    <x v="1"/>
  </r>
  <r>
    <s v="TX501789"/>
    <x v="6"/>
    <x v="7"/>
    <n v="84.7"/>
    <n v="847"/>
    <d v="2025-03-07T00:00:00"/>
    <d v="2025-03-11T00:00:00"/>
    <s v="F"/>
    <x v="0"/>
    <x v="0"/>
    <x v="0"/>
    <x v="3"/>
    <x v="5"/>
    <x v="9"/>
    <x v="2"/>
  </r>
  <r>
    <s v="TX501790"/>
    <x v="1"/>
    <x v="2"/>
    <n v="93.4"/>
    <n v="280.20000000000005"/>
    <d v="2025-03-07T00:00:00"/>
    <d v="2025-03-11T00:00:00"/>
    <s v="F"/>
    <x v="3"/>
    <x v="0"/>
    <x v="0"/>
    <x v="3"/>
    <x v="5"/>
    <x v="9"/>
    <x v="2"/>
  </r>
  <r>
    <s v="TX501791"/>
    <x v="8"/>
    <x v="9"/>
    <n v="27"/>
    <n v="135"/>
    <d v="2025-03-07T00:00:00"/>
    <d v="2025-03-10T00:00:00"/>
    <s v="M"/>
    <x v="0"/>
    <x v="1"/>
    <x v="0"/>
    <x v="3"/>
    <x v="2"/>
    <x v="9"/>
    <x v="1"/>
  </r>
  <r>
    <s v="TX501792"/>
    <x v="0"/>
    <x v="12"/>
    <n v="10.9"/>
    <n v="43.6"/>
    <d v="2025-03-07T00:00:00"/>
    <d v="2025-03-08T00:00:00"/>
    <s v="M"/>
    <x v="2"/>
    <x v="0"/>
    <x v="0"/>
    <x v="3"/>
    <x v="3"/>
    <x v="9"/>
    <x v="1"/>
  </r>
  <r>
    <s v="TX501793"/>
    <x v="16"/>
    <x v="2"/>
    <n v="48"/>
    <n v="144"/>
    <d v="2025-03-07T00:00:00"/>
    <d v="2025-03-12T00:00:00"/>
    <s v="F"/>
    <x v="4"/>
    <x v="0"/>
    <x v="0"/>
    <x v="3"/>
    <x v="0"/>
    <x v="9"/>
    <x v="2"/>
  </r>
  <r>
    <s v="TX501794"/>
    <x v="5"/>
    <x v="1"/>
    <n v="67.900000000000006"/>
    <n v="135.80000000000001"/>
    <d v="2025-03-07T00:00:00"/>
    <d v="2025-03-08T00:00:00"/>
    <s v="M"/>
    <x v="0"/>
    <x v="2"/>
    <x v="0"/>
    <x v="23"/>
    <x v="3"/>
    <x v="9"/>
    <x v="1"/>
  </r>
  <r>
    <s v="TX501795"/>
    <x v="4"/>
    <x v="2"/>
    <n v="36"/>
    <n v="108"/>
    <d v="2025-03-07T00:00:00"/>
    <d v="2025-03-08T00:00:00"/>
    <s v="M"/>
    <x v="1"/>
    <x v="0"/>
    <x v="0"/>
    <x v="6"/>
    <x v="3"/>
    <x v="9"/>
    <x v="1"/>
  </r>
  <r>
    <s v="TX501796"/>
    <x v="2"/>
    <x v="0"/>
    <n v="128.80000000000001"/>
    <n v="128.80000000000001"/>
    <d v="2025-03-07T00:00:00"/>
    <d v="2025-03-08T00:00:00"/>
    <s v="M"/>
    <x v="4"/>
    <x v="2"/>
    <x v="0"/>
    <x v="6"/>
    <x v="3"/>
    <x v="9"/>
    <x v="1"/>
  </r>
  <r>
    <s v="TX501797"/>
    <x v="18"/>
    <x v="3"/>
    <n v="33.299999999999997"/>
    <n v="233.09999999999997"/>
    <d v="2025-03-07T00:00:00"/>
    <d v="2025-03-08T00:00:00"/>
    <s v="F"/>
    <x v="3"/>
    <x v="0"/>
    <x v="0"/>
    <x v="8"/>
    <x v="3"/>
    <x v="9"/>
    <x v="2"/>
  </r>
  <r>
    <s v="TX501798"/>
    <x v="10"/>
    <x v="2"/>
    <n v="37.799999999999997"/>
    <n v="113.39999999999999"/>
    <d v="2025-03-07T00:00:00"/>
    <d v="2025-03-09T00:00:00"/>
    <s v="M"/>
    <x v="1"/>
    <x v="2"/>
    <x v="0"/>
    <x v="8"/>
    <x v="1"/>
    <x v="9"/>
    <x v="1"/>
  </r>
  <r>
    <s v="TX501799"/>
    <x v="5"/>
    <x v="2"/>
    <n v="26"/>
    <n v="78"/>
    <d v="2025-03-07T00:00:00"/>
    <d v="2025-03-12T00:00:00"/>
    <s v="F"/>
    <x v="0"/>
    <x v="0"/>
    <x v="0"/>
    <x v="8"/>
    <x v="0"/>
    <x v="9"/>
    <x v="2"/>
  </r>
  <r>
    <s v="TX501800"/>
    <x v="8"/>
    <x v="10"/>
    <n v="28.3"/>
    <n v="537.70000000000005"/>
    <d v="2025-03-07T00:00:00"/>
    <d v="2025-03-08T00:00:00"/>
    <s v="F"/>
    <x v="3"/>
    <x v="4"/>
    <x v="0"/>
    <x v="8"/>
    <x v="3"/>
    <x v="9"/>
    <x v="2"/>
  </r>
  <r>
    <s v="TX501801"/>
    <x v="8"/>
    <x v="12"/>
    <n v="31.3"/>
    <n v="125.2"/>
    <d v="2025-03-07T00:00:00"/>
    <d v="2025-03-07T00:00:00"/>
    <s v="F"/>
    <x v="0"/>
    <x v="0"/>
    <x v="0"/>
    <x v="8"/>
    <x v="7"/>
    <x v="9"/>
    <x v="2"/>
  </r>
  <r>
    <s v="TX501802"/>
    <x v="7"/>
    <x v="2"/>
    <n v="69.5"/>
    <n v="208.5"/>
    <d v="2025-03-07T00:00:00"/>
    <d v="2025-03-08T00:00:00"/>
    <s v="F"/>
    <x v="3"/>
    <x v="2"/>
    <x v="0"/>
    <x v="8"/>
    <x v="3"/>
    <x v="9"/>
    <x v="2"/>
  </r>
  <r>
    <s v="TX501803"/>
    <x v="0"/>
    <x v="1"/>
    <n v="16.7"/>
    <n v="33.4"/>
    <d v="2025-03-07T00:00:00"/>
    <d v="2025-03-08T00:00:00"/>
    <s v="F"/>
    <x v="3"/>
    <x v="1"/>
    <x v="0"/>
    <x v="8"/>
    <x v="3"/>
    <x v="9"/>
    <x v="2"/>
  </r>
  <r>
    <s v="TX501804"/>
    <x v="9"/>
    <x v="1"/>
    <n v="62.6"/>
    <n v="125.2"/>
    <d v="2025-03-07T00:00:00"/>
    <d v="2025-03-08T00:00:00"/>
    <s v="M"/>
    <x v="2"/>
    <x v="2"/>
    <x v="0"/>
    <x v="9"/>
    <x v="3"/>
    <x v="9"/>
    <x v="1"/>
  </r>
  <r>
    <s v="TX501805"/>
    <x v="7"/>
    <x v="0"/>
    <n v="81.2"/>
    <n v="81.2"/>
    <d v="2025-03-07T00:00:00"/>
    <d v="2025-03-13T00:00:00"/>
    <s v="M"/>
    <x v="4"/>
    <x v="4"/>
    <x v="0"/>
    <x v="9"/>
    <x v="4"/>
    <x v="9"/>
    <x v="1"/>
  </r>
  <r>
    <s v="TX501806"/>
    <x v="0"/>
    <x v="7"/>
    <n v="12.7"/>
    <n v="127"/>
    <d v="2025-03-07T00:00:00"/>
    <d v="2025-03-08T00:00:00"/>
    <s v="F"/>
    <x v="0"/>
    <x v="2"/>
    <x v="0"/>
    <x v="9"/>
    <x v="3"/>
    <x v="9"/>
    <x v="2"/>
  </r>
  <r>
    <s v="TX501807"/>
    <x v="7"/>
    <x v="12"/>
    <n v="77.7"/>
    <n v="310.8"/>
    <d v="2025-03-08T00:00:00"/>
    <d v="2025-03-12T00:00:00"/>
    <s v="M"/>
    <x v="1"/>
    <x v="0"/>
    <x v="0"/>
    <x v="11"/>
    <x v="5"/>
    <x v="9"/>
    <x v="1"/>
  </r>
  <r>
    <s v="TX501808"/>
    <x v="5"/>
    <x v="1"/>
    <n v="37.299999999999997"/>
    <n v="74.599999999999994"/>
    <d v="2025-03-08T00:00:00"/>
    <d v="2025-03-09T00:00:00"/>
    <s v="F"/>
    <x v="0"/>
    <x v="2"/>
    <x v="0"/>
    <x v="18"/>
    <x v="3"/>
    <x v="9"/>
    <x v="2"/>
  </r>
  <r>
    <s v="TX501809"/>
    <x v="10"/>
    <x v="12"/>
    <n v="35.6"/>
    <n v="142.4"/>
    <d v="2025-03-08T00:00:00"/>
    <d v="2025-03-10T00:00:00"/>
    <s v="F"/>
    <x v="1"/>
    <x v="1"/>
    <x v="0"/>
    <x v="19"/>
    <x v="1"/>
    <x v="9"/>
    <x v="2"/>
  </r>
  <r>
    <s v="TX501810"/>
    <x v="2"/>
    <x v="2"/>
    <n v="95"/>
    <n v="285"/>
    <d v="2025-03-08T00:00:00"/>
    <d v="2025-03-12T00:00:00"/>
    <s v="F"/>
    <x v="2"/>
    <x v="2"/>
    <x v="0"/>
    <x v="56"/>
    <x v="5"/>
    <x v="9"/>
    <x v="2"/>
  </r>
  <r>
    <s v="TX501811"/>
    <x v="2"/>
    <x v="12"/>
    <n v="172.1"/>
    <n v="688.4"/>
    <d v="2025-03-08T00:00:00"/>
    <d v="2025-03-12T00:00:00"/>
    <s v="O"/>
    <x v="2"/>
    <x v="2"/>
    <x v="0"/>
    <x v="21"/>
    <x v="5"/>
    <x v="9"/>
    <x v="3"/>
  </r>
  <r>
    <s v="TX501812"/>
    <x v="2"/>
    <x v="1"/>
    <n v="233"/>
    <n v="466"/>
    <d v="2025-03-08T00:00:00"/>
    <d v="2025-03-11T00:00:00"/>
    <s v="F"/>
    <x v="1"/>
    <x v="0"/>
    <x v="0"/>
    <x v="21"/>
    <x v="2"/>
    <x v="9"/>
    <x v="2"/>
  </r>
  <r>
    <s v="TX501813"/>
    <x v="0"/>
    <x v="0"/>
    <n v="43.5"/>
    <n v="43.5"/>
    <d v="2025-03-08T00:00:00"/>
    <d v="2025-03-09T00:00:00"/>
    <s v="F"/>
    <x v="2"/>
    <x v="2"/>
    <x v="0"/>
    <x v="21"/>
    <x v="3"/>
    <x v="9"/>
    <x v="2"/>
  </r>
  <r>
    <s v="TX501814"/>
    <x v="9"/>
    <x v="1"/>
    <n v="47.8"/>
    <n v="95.6"/>
    <d v="2025-03-08T00:00:00"/>
    <d v="2025-03-11T00:00:00"/>
    <s v="M"/>
    <x v="4"/>
    <x v="2"/>
    <x v="0"/>
    <x v="1"/>
    <x v="2"/>
    <x v="9"/>
    <x v="1"/>
  </r>
  <r>
    <s v="TX501815"/>
    <x v="12"/>
    <x v="1"/>
    <n v="65.8"/>
    <n v="131.6"/>
    <d v="2025-03-08T00:00:00"/>
    <d v="2025-03-10T00:00:00"/>
    <s v="F"/>
    <x v="0"/>
    <x v="3"/>
    <x v="0"/>
    <x v="33"/>
    <x v="1"/>
    <x v="9"/>
    <x v="2"/>
  </r>
  <r>
    <s v="TX501816"/>
    <x v="15"/>
    <x v="5"/>
    <n v="38.700000000000003"/>
    <n v="425.70000000000005"/>
    <d v="2025-03-08T00:00:00"/>
    <d v="2025-03-08T00:00:00"/>
    <s v="M"/>
    <x v="0"/>
    <x v="0"/>
    <x v="0"/>
    <x v="22"/>
    <x v="7"/>
    <x v="9"/>
    <x v="1"/>
  </r>
  <r>
    <s v="TX501817"/>
    <x v="3"/>
    <x v="12"/>
    <n v="55.7"/>
    <n v="222.8"/>
    <d v="2025-03-08T00:00:00"/>
    <d v="2025-03-10T00:00:00"/>
    <s v="O"/>
    <x v="0"/>
    <x v="1"/>
    <x v="0"/>
    <x v="22"/>
    <x v="1"/>
    <x v="9"/>
    <x v="3"/>
  </r>
  <r>
    <s v="TX501818"/>
    <x v="7"/>
    <x v="1"/>
    <n v="102.4"/>
    <n v="204.8"/>
    <d v="2025-03-08T00:00:00"/>
    <d v="2025-03-08T00:00:00"/>
    <s v="F"/>
    <x v="1"/>
    <x v="0"/>
    <x v="0"/>
    <x v="3"/>
    <x v="7"/>
    <x v="9"/>
    <x v="2"/>
  </r>
  <r>
    <s v="TX501819"/>
    <x v="1"/>
    <x v="0"/>
    <n v="92"/>
    <n v="92"/>
    <d v="2025-03-08T00:00:00"/>
    <d v="2025-03-12T00:00:00"/>
    <s v=""/>
    <x v="2"/>
    <x v="0"/>
    <x v="0"/>
    <x v="3"/>
    <x v="5"/>
    <x v="9"/>
    <x v="0"/>
  </r>
  <r>
    <s v="TX501820"/>
    <x v="6"/>
    <x v="12"/>
    <n v="75.900000000000006"/>
    <n v="303.60000000000002"/>
    <d v="2025-03-08T00:00:00"/>
    <d v="2025-03-10T00:00:00"/>
    <s v="F"/>
    <x v="1"/>
    <x v="0"/>
    <x v="0"/>
    <x v="3"/>
    <x v="1"/>
    <x v="9"/>
    <x v="2"/>
  </r>
  <r>
    <s v="TX501821"/>
    <x v="1"/>
    <x v="12"/>
    <n v="36.200000000000003"/>
    <n v="144.80000000000001"/>
    <d v="2025-03-08T00:00:00"/>
    <d v="2025-03-09T00:00:00"/>
    <s v="F"/>
    <x v="1"/>
    <x v="0"/>
    <x v="0"/>
    <x v="3"/>
    <x v="3"/>
    <x v="9"/>
    <x v="2"/>
  </r>
  <r>
    <s v="TX501822"/>
    <x v="6"/>
    <x v="45"/>
    <n v="83.5"/>
    <n v="7264.5"/>
    <d v="2025-03-08T00:00:00"/>
    <d v="2025-03-10T00:00:00"/>
    <s v=""/>
    <x v="3"/>
    <x v="0"/>
    <x v="0"/>
    <x v="3"/>
    <x v="1"/>
    <x v="9"/>
    <x v="0"/>
  </r>
  <r>
    <s v="TX501823"/>
    <x v="19"/>
    <x v="4"/>
    <n v="52.4"/>
    <n v="628.79999999999995"/>
    <d v="2025-03-08T00:00:00"/>
    <d v="2025-03-08T00:00:00"/>
    <s v="M"/>
    <x v="2"/>
    <x v="0"/>
    <x v="0"/>
    <x v="3"/>
    <x v="7"/>
    <x v="9"/>
    <x v="1"/>
  </r>
  <r>
    <s v="TX501824"/>
    <x v="12"/>
    <x v="2"/>
    <n v="69.5"/>
    <n v="208.5"/>
    <d v="2025-03-08T00:00:00"/>
    <d v="2025-03-09T00:00:00"/>
    <s v="O"/>
    <x v="4"/>
    <x v="0"/>
    <x v="0"/>
    <x v="3"/>
    <x v="3"/>
    <x v="9"/>
    <x v="3"/>
  </r>
  <r>
    <s v="TX501825"/>
    <x v="0"/>
    <x v="0"/>
    <n v="15.5"/>
    <n v="15.5"/>
    <d v="2025-03-08T00:00:00"/>
    <d v="2025-03-10T00:00:00"/>
    <s v="M"/>
    <x v="0"/>
    <x v="0"/>
    <x v="0"/>
    <x v="3"/>
    <x v="1"/>
    <x v="9"/>
    <x v="1"/>
  </r>
  <r>
    <s v="TX501826"/>
    <x v="4"/>
    <x v="12"/>
    <n v="35.200000000000003"/>
    <n v="140.80000000000001"/>
    <d v="2025-03-08T00:00:00"/>
    <d v="2025-03-09T00:00:00"/>
    <s v="F"/>
    <x v="2"/>
    <x v="2"/>
    <x v="0"/>
    <x v="3"/>
    <x v="3"/>
    <x v="9"/>
    <x v="2"/>
  </r>
  <r>
    <s v="TX501827"/>
    <x v="8"/>
    <x v="13"/>
    <n v="34.6"/>
    <n v="207.60000000000002"/>
    <d v="2025-03-08T00:00:00"/>
    <d v="2025-03-09T00:00:00"/>
    <s v=""/>
    <x v="0"/>
    <x v="1"/>
    <x v="0"/>
    <x v="3"/>
    <x v="3"/>
    <x v="9"/>
    <x v="0"/>
  </r>
  <r>
    <s v="TX501828"/>
    <x v="4"/>
    <x v="0"/>
    <n v="21.3"/>
    <n v="21.3"/>
    <d v="2025-03-09T00:00:00"/>
    <d v="2025-03-10T00:00:00"/>
    <s v="M"/>
    <x v="2"/>
    <x v="1"/>
    <x v="0"/>
    <x v="3"/>
    <x v="3"/>
    <x v="10"/>
    <x v="1"/>
  </r>
  <r>
    <s v="TX501829"/>
    <x v="6"/>
    <x v="1"/>
    <n v="136.5"/>
    <n v="273"/>
    <d v="2025-03-09T00:00:00"/>
    <d v="2025-03-15T00:00:00"/>
    <s v="F"/>
    <x v="0"/>
    <x v="0"/>
    <x v="0"/>
    <x v="37"/>
    <x v="4"/>
    <x v="10"/>
    <x v="2"/>
  </r>
  <r>
    <s v="TX501830"/>
    <x v="9"/>
    <x v="3"/>
    <n v="30.7"/>
    <n v="214.9"/>
    <d v="2025-03-09T00:00:00"/>
    <d v="2025-03-10T00:00:00"/>
    <s v="M"/>
    <x v="2"/>
    <x v="2"/>
    <x v="0"/>
    <x v="25"/>
    <x v="3"/>
    <x v="10"/>
    <x v="1"/>
  </r>
  <r>
    <s v="TX501831"/>
    <x v="1"/>
    <x v="1"/>
    <n v="61.6"/>
    <n v="123.2"/>
    <d v="2025-03-09T00:00:00"/>
    <d v="2025-03-10T00:00:00"/>
    <s v="F"/>
    <x v="2"/>
    <x v="2"/>
    <x v="0"/>
    <x v="23"/>
    <x v="3"/>
    <x v="10"/>
    <x v="2"/>
  </r>
  <r>
    <s v="TX501832"/>
    <x v="6"/>
    <x v="12"/>
    <n v="54.3"/>
    <n v="217.2"/>
    <d v="2025-03-09T00:00:00"/>
    <d v="2025-03-11T00:00:00"/>
    <s v=""/>
    <x v="4"/>
    <x v="0"/>
    <x v="0"/>
    <x v="7"/>
    <x v="1"/>
    <x v="10"/>
    <x v="0"/>
  </r>
  <r>
    <s v="TX501833"/>
    <x v="1"/>
    <x v="1"/>
    <n v="44.1"/>
    <n v="88.2"/>
    <d v="2025-03-09T00:00:00"/>
    <d v="2025-03-21T00:00:00"/>
    <s v="F"/>
    <x v="0"/>
    <x v="2"/>
    <x v="0"/>
    <x v="8"/>
    <x v="13"/>
    <x v="10"/>
    <x v="2"/>
  </r>
  <r>
    <s v="TX501834"/>
    <x v="8"/>
    <x v="12"/>
    <n v="43.5"/>
    <n v="174"/>
    <d v="2025-03-09T00:00:00"/>
    <d v="2025-03-15T00:00:00"/>
    <s v="M"/>
    <x v="3"/>
    <x v="0"/>
    <x v="0"/>
    <x v="8"/>
    <x v="4"/>
    <x v="10"/>
    <x v="1"/>
  </r>
  <r>
    <s v="TX501835"/>
    <x v="8"/>
    <x v="2"/>
    <n v="48.2"/>
    <n v="144.60000000000002"/>
    <d v="2025-03-09T00:00:00"/>
    <d v="2025-03-13T00:00:00"/>
    <s v="M"/>
    <x v="3"/>
    <x v="1"/>
    <x v="0"/>
    <x v="8"/>
    <x v="5"/>
    <x v="10"/>
    <x v="1"/>
  </r>
  <r>
    <s v="TX501836"/>
    <x v="19"/>
    <x v="0"/>
    <n v="13.7"/>
    <n v="13.7"/>
    <d v="2025-03-09T00:00:00"/>
    <d v="2025-03-10T00:00:00"/>
    <s v="F"/>
    <x v="2"/>
    <x v="2"/>
    <x v="0"/>
    <x v="8"/>
    <x v="3"/>
    <x v="10"/>
    <x v="2"/>
  </r>
  <r>
    <s v="TX501837"/>
    <x v="2"/>
    <x v="1"/>
    <n v="110.5"/>
    <n v="221"/>
    <d v="2025-03-09T00:00:00"/>
    <d v="2025-03-10T00:00:00"/>
    <s v="F"/>
    <x v="0"/>
    <x v="1"/>
    <x v="0"/>
    <x v="8"/>
    <x v="3"/>
    <x v="10"/>
    <x v="2"/>
  </r>
  <r>
    <s v="TX501838"/>
    <x v="8"/>
    <x v="2"/>
    <n v="26"/>
    <n v="78"/>
    <d v="2025-03-09T00:00:00"/>
    <d v="2025-03-14T00:00:00"/>
    <s v="F"/>
    <x v="1"/>
    <x v="1"/>
    <x v="0"/>
    <x v="8"/>
    <x v="0"/>
    <x v="10"/>
    <x v="2"/>
  </r>
  <r>
    <s v="TX501839"/>
    <x v="2"/>
    <x v="7"/>
    <n v="140.69999999999999"/>
    <n v="1407"/>
    <d v="2025-03-09T00:00:00"/>
    <d v="2025-03-15T00:00:00"/>
    <s v="M"/>
    <x v="3"/>
    <x v="1"/>
    <x v="0"/>
    <x v="8"/>
    <x v="4"/>
    <x v="10"/>
    <x v="1"/>
  </r>
  <r>
    <s v="TX501840"/>
    <x v="17"/>
    <x v="1"/>
    <n v="41.7"/>
    <n v="83.4"/>
    <d v="2025-03-09T00:00:00"/>
    <d v="2025-03-17T00:00:00"/>
    <s v="F"/>
    <x v="0"/>
    <x v="4"/>
    <x v="0"/>
    <x v="8"/>
    <x v="9"/>
    <x v="10"/>
    <x v="2"/>
  </r>
  <r>
    <s v="TX501841"/>
    <x v="2"/>
    <x v="1"/>
    <n v="135.1"/>
    <n v="270.2"/>
    <d v="2025-03-09T00:00:00"/>
    <d v="2025-03-10T00:00:00"/>
    <s v="M"/>
    <x v="0"/>
    <x v="2"/>
    <x v="0"/>
    <x v="17"/>
    <x v="3"/>
    <x v="10"/>
    <x v="1"/>
  </r>
  <r>
    <s v="TX501842"/>
    <x v="12"/>
    <x v="32"/>
    <n v="95.5"/>
    <n v="2101"/>
    <d v="2025-03-09T00:00:00"/>
    <d v="2025-03-10T00:00:00"/>
    <s v="F"/>
    <x v="4"/>
    <x v="4"/>
    <x v="0"/>
    <x v="26"/>
    <x v="3"/>
    <x v="10"/>
    <x v="2"/>
  </r>
  <r>
    <s v="TX501843"/>
    <x v="15"/>
    <x v="0"/>
    <n v="25.5"/>
    <n v="25.5"/>
    <d v="2025-03-09T00:00:00"/>
    <d v="2025-03-12T00:00:00"/>
    <s v=""/>
    <x v="2"/>
    <x v="2"/>
    <x v="0"/>
    <x v="11"/>
    <x v="2"/>
    <x v="10"/>
    <x v="0"/>
  </r>
  <r>
    <s v="TX501844"/>
    <x v="1"/>
    <x v="0"/>
    <n v="42.6"/>
    <n v="42.6"/>
    <d v="2025-03-09T00:00:00"/>
    <d v="2025-03-13T00:00:00"/>
    <s v="F"/>
    <x v="0"/>
    <x v="0"/>
    <x v="0"/>
    <x v="11"/>
    <x v="5"/>
    <x v="10"/>
    <x v="2"/>
  </r>
  <r>
    <s v="TX501845"/>
    <x v="8"/>
    <x v="20"/>
    <n v="32.4"/>
    <n v="486"/>
    <d v="2025-03-09T00:00:00"/>
    <d v="2025-03-10T00:00:00"/>
    <s v="M"/>
    <x v="1"/>
    <x v="1"/>
    <x v="0"/>
    <x v="11"/>
    <x v="3"/>
    <x v="10"/>
    <x v="1"/>
  </r>
  <r>
    <s v="TX501846"/>
    <x v="4"/>
    <x v="12"/>
    <n v="20.2"/>
    <n v="80.8"/>
    <d v="2025-03-09T00:00:00"/>
    <d v="2025-03-10T00:00:00"/>
    <s v="O"/>
    <x v="2"/>
    <x v="0"/>
    <x v="0"/>
    <x v="11"/>
    <x v="3"/>
    <x v="10"/>
    <x v="3"/>
  </r>
  <r>
    <s v="TX501847"/>
    <x v="16"/>
    <x v="2"/>
    <n v="52.5"/>
    <n v="157.5"/>
    <d v="2025-03-09T00:00:00"/>
    <d v="2025-03-14T00:00:00"/>
    <s v="F"/>
    <x v="4"/>
    <x v="0"/>
    <x v="0"/>
    <x v="18"/>
    <x v="0"/>
    <x v="10"/>
    <x v="2"/>
  </r>
  <r>
    <s v="TX501848"/>
    <x v="2"/>
    <x v="9"/>
    <n v="59.9"/>
    <n v="299.5"/>
    <d v="2025-03-09T00:00:00"/>
    <d v="2025-03-11T00:00:00"/>
    <s v="F"/>
    <x v="2"/>
    <x v="0"/>
    <x v="0"/>
    <x v="19"/>
    <x v="1"/>
    <x v="10"/>
    <x v="2"/>
  </r>
  <r>
    <s v="TX501849"/>
    <x v="4"/>
    <x v="1"/>
    <n v="53.2"/>
    <n v="106.4"/>
    <d v="2025-03-09T00:00:00"/>
    <d v="2025-03-10T00:00:00"/>
    <s v="F"/>
    <x v="1"/>
    <x v="3"/>
    <x v="0"/>
    <x v="20"/>
    <x v="3"/>
    <x v="10"/>
    <x v="2"/>
  </r>
  <r>
    <s v="TX501850"/>
    <x v="2"/>
    <x v="1"/>
    <n v="60"/>
    <n v="120"/>
    <d v="2025-03-09T00:00:00"/>
    <d v="2025-03-15T00:00:00"/>
    <s v="M"/>
    <x v="1"/>
    <x v="2"/>
    <x v="0"/>
    <x v="20"/>
    <x v="4"/>
    <x v="10"/>
    <x v="1"/>
  </r>
  <r>
    <s v="TX501851"/>
    <x v="8"/>
    <x v="2"/>
    <n v="29.3"/>
    <n v="87.9"/>
    <d v="2025-03-09T00:00:00"/>
    <d v="2025-03-10T00:00:00"/>
    <s v="F"/>
    <x v="4"/>
    <x v="0"/>
    <x v="0"/>
    <x v="13"/>
    <x v="3"/>
    <x v="10"/>
    <x v="2"/>
  </r>
  <r>
    <s v="TX501852"/>
    <x v="12"/>
    <x v="1"/>
    <n v="55.4"/>
    <n v="110.8"/>
    <d v="2025-03-09T00:00:00"/>
    <d v="2025-03-10T00:00:00"/>
    <s v="F"/>
    <x v="0"/>
    <x v="2"/>
    <x v="0"/>
    <x v="21"/>
    <x v="3"/>
    <x v="10"/>
    <x v="2"/>
  </r>
  <r>
    <s v="TX501853"/>
    <x v="0"/>
    <x v="9"/>
    <n v="20.100000000000001"/>
    <n v="100.5"/>
    <d v="2025-03-09T00:00:00"/>
    <d v="2025-03-11T00:00:00"/>
    <s v="F"/>
    <x v="1"/>
    <x v="2"/>
    <x v="0"/>
    <x v="21"/>
    <x v="1"/>
    <x v="10"/>
    <x v="2"/>
  </r>
  <r>
    <s v="TX501854"/>
    <x v="14"/>
    <x v="9"/>
    <n v="24"/>
    <n v="120"/>
    <d v="2025-03-09T00:00:00"/>
    <d v="2025-03-12T00:00:00"/>
    <s v="M"/>
    <x v="2"/>
    <x v="0"/>
    <x v="0"/>
    <x v="1"/>
    <x v="2"/>
    <x v="10"/>
    <x v="1"/>
  </r>
  <r>
    <s v="TX501855"/>
    <x v="8"/>
    <x v="1"/>
    <n v="30.6"/>
    <n v="61.2"/>
    <d v="2025-03-10T00:00:00"/>
    <d v="2025-03-12T00:00:00"/>
    <s v="F"/>
    <x v="0"/>
    <x v="0"/>
    <x v="0"/>
    <x v="1"/>
    <x v="1"/>
    <x v="10"/>
    <x v="2"/>
  </r>
  <r>
    <s v="TX501856"/>
    <x v="10"/>
    <x v="9"/>
    <n v="33"/>
    <n v="165"/>
    <d v="2025-03-10T00:00:00"/>
    <d v="2025-03-11T00:00:00"/>
    <s v="M"/>
    <x v="1"/>
    <x v="1"/>
    <x v="0"/>
    <x v="27"/>
    <x v="3"/>
    <x v="10"/>
    <x v="1"/>
  </r>
  <r>
    <s v="TX501857"/>
    <x v="17"/>
    <x v="11"/>
    <n v="42.1"/>
    <n v="378.90000000000003"/>
    <d v="2025-03-10T00:00:00"/>
    <d v="2025-03-16T00:00:00"/>
    <s v="F"/>
    <x v="2"/>
    <x v="0"/>
    <x v="0"/>
    <x v="44"/>
    <x v="4"/>
    <x v="10"/>
    <x v="2"/>
  </r>
  <r>
    <s v="TX501858"/>
    <x v="6"/>
    <x v="3"/>
    <n v="77.7"/>
    <n v="543.9"/>
    <d v="2025-03-10T00:00:00"/>
    <d v="2025-03-15T00:00:00"/>
    <s v="F"/>
    <x v="1"/>
    <x v="2"/>
    <x v="0"/>
    <x v="50"/>
    <x v="0"/>
    <x v="10"/>
    <x v="2"/>
  </r>
  <r>
    <s v="TX501859"/>
    <x v="17"/>
    <x v="13"/>
    <n v="22.7"/>
    <n v="136.19999999999999"/>
    <d v="2025-03-10T00:00:00"/>
    <d v="2025-03-13T00:00:00"/>
    <s v="F"/>
    <x v="2"/>
    <x v="0"/>
    <x v="0"/>
    <x v="3"/>
    <x v="2"/>
    <x v="10"/>
    <x v="2"/>
  </r>
  <r>
    <s v="TX501860"/>
    <x v="2"/>
    <x v="1"/>
    <n v="133"/>
    <n v="266"/>
    <d v="2025-03-10T00:00:00"/>
    <d v="2025-03-10T00:00:00"/>
    <s v="M"/>
    <x v="2"/>
    <x v="2"/>
    <x v="0"/>
    <x v="3"/>
    <x v="7"/>
    <x v="10"/>
    <x v="1"/>
  </r>
  <r>
    <s v="TX501861"/>
    <x v="0"/>
    <x v="1"/>
    <n v="23.3"/>
    <n v="46.6"/>
    <d v="2025-03-10T00:00:00"/>
    <d v="2025-03-11T00:00:00"/>
    <s v="M"/>
    <x v="1"/>
    <x v="2"/>
    <x v="0"/>
    <x v="3"/>
    <x v="3"/>
    <x v="10"/>
    <x v="1"/>
  </r>
  <r>
    <s v="TX501862"/>
    <x v="8"/>
    <x v="2"/>
    <n v="20.7"/>
    <n v="62.099999999999994"/>
    <d v="2025-03-10T00:00:00"/>
    <d v="2025-03-12T00:00:00"/>
    <s v="O"/>
    <x v="0"/>
    <x v="2"/>
    <x v="0"/>
    <x v="3"/>
    <x v="1"/>
    <x v="10"/>
    <x v="3"/>
  </r>
  <r>
    <s v="TX501863"/>
    <x v="12"/>
    <x v="1"/>
    <n v="47"/>
    <n v="94"/>
    <d v="2025-03-10T00:00:00"/>
    <d v="2025-03-11T00:00:00"/>
    <s v="M"/>
    <x v="1"/>
    <x v="2"/>
    <x v="0"/>
    <x v="3"/>
    <x v="3"/>
    <x v="10"/>
    <x v="1"/>
  </r>
  <r>
    <s v="TX501864"/>
    <x v="12"/>
    <x v="2"/>
    <n v="38.200000000000003"/>
    <n v="114.60000000000001"/>
    <d v="2025-03-10T00:00:00"/>
    <d v="2025-03-12T00:00:00"/>
    <s v="F"/>
    <x v="2"/>
    <x v="4"/>
    <x v="0"/>
    <x v="3"/>
    <x v="1"/>
    <x v="10"/>
    <x v="2"/>
  </r>
  <r>
    <s v="TX501865"/>
    <x v="9"/>
    <x v="0"/>
    <n v="39.1"/>
    <n v="39.1"/>
    <d v="2025-03-10T00:00:00"/>
    <d v="2025-03-12T00:00:00"/>
    <s v="F"/>
    <x v="0"/>
    <x v="0"/>
    <x v="0"/>
    <x v="3"/>
    <x v="1"/>
    <x v="10"/>
    <x v="2"/>
  </r>
  <r>
    <s v="TX501866"/>
    <x v="7"/>
    <x v="30"/>
    <n v="55.6"/>
    <n v="1390"/>
    <d v="2025-03-10T00:00:00"/>
    <d v="2025-03-12T00:00:00"/>
    <s v="M"/>
    <x v="0"/>
    <x v="2"/>
    <x v="0"/>
    <x v="3"/>
    <x v="1"/>
    <x v="10"/>
    <x v="1"/>
  </r>
  <r>
    <s v="TX501867"/>
    <x v="15"/>
    <x v="0"/>
    <n v="43.1"/>
    <n v="43.1"/>
    <d v="2025-03-10T00:00:00"/>
    <d v="2025-03-10T00:00:00"/>
    <s v="O"/>
    <x v="1"/>
    <x v="2"/>
    <x v="0"/>
    <x v="3"/>
    <x v="7"/>
    <x v="10"/>
    <x v="3"/>
  </r>
  <r>
    <s v="TX501868"/>
    <x v="6"/>
    <x v="12"/>
    <n v="48.1"/>
    <n v="192.4"/>
    <d v="2025-03-10T00:00:00"/>
    <d v="2025-03-11T00:00:00"/>
    <s v="F"/>
    <x v="4"/>
    <x v="2"/>
    <x v="0"/>
    <x v="3"/>
    <x v="3"/>
    <x v="10"/>
    <x v="2"/>
  </r>
  <r>
    <s v="TX501869"/>
    <x v="4"/>
    <x v="0"/>
    <n v="42"/>
    <n v="42"/>
    <d v="2025-03-10T00:00:00"/>
    <d v="2025-03-11T00:00:00"/>
    <s v="O"/>
    <x v="0"/>
    <x v="0"/>
    <x v="0"/>
    <x v="3"/>
    <x v="3"/>
    <x v="10"/>
    <x v="3"/>
  </r>
  <r>
    <s v="TX501870"/>
    <x v="8"/>
    <x v="9"/>
    <n v="18.3"/>
    <n v="91.5"/>
    <d v="2025-03-10T00:00:00"/>
    <d v="2025-03-10T00:00:00"/>
    <s v="F"/>
    <x v="2"/>
    <x v="0"/>
    <x v="0"/>
    <x v="3"/>
    <x v="7"/>
    <x v="10"/>
    <x v="2"/>
  </r>
  <r>
    <s v="TX501871"/>
    <x v="10"/>
    <x v="12"/>
    <n v="45.3"/>
    <n v="181.2"/>
    <d v="2025-03-10T00:00:00"/>
    <d v="2025-03-13T00:00:00"/>
    <s v="F"/>
    <x v="0"/>
    <x v="2"/>
    <x v="0"/>
    <x v="3"/>
    <x v="2"/>
    <x v="10"/>
    <x v="2"/>
  </r>
  <r>
    <s v="TX501872"/>
    <x v="0"/>
    <x v="1"/>
    <n v="27.6"/>
    <n v="55.2"/>
    <d v="2025-03-10T00:00:00"/>
    <d v="2025-03-12T00:00:00"/>
    <s v="M"/>
    <x v="0"/>
    <x v="2"/>
    <x v="0"/>
    <x v="37"/>
    <x v="1"/>
    <x v="10"/>
    <x v="1"/>
  </r>
  <r>
    <s v="TX501873"/>
    <x v="4"/>
    <x v="9"/>
    <n v="26.9"/>
    <n v="134.5"/>
    <d v="2025-03-10T00:00:00"/>
    <d v="2025-03-11T00:00:00"/>
    <s v="F"/>
    <x v="2"/>
    <x v="0"/>
    <x v="0"/>
    <x v="25"/>
    <x v="3"/>
    <x v="10"/>
    <x v="2"/>
  </r>
  <r>
    <s v="TX501874"/>
    <x v="2"/>
    <x v="11"/>
    <n v="82.4"/>
    <n v="741.6"/>
    <d v="2025-03-10T00:00:00"/>
    <d v="2025-03-12T00:00:00"/>
    <s v="O"/>
    <x v="2"/>
    <x v="0"/>
    <x v="0"/>
    <x v="5"/>
    <x v="1"/>
    <x v="10"/>
    <x v="3"/>
  </r>
  <r>
    <s v="TX501875"/>
    <x v="6"/>
    <x v="0"/>
    <n v="103.7"/>
    <n v="103.7"/>
    <d v="2025-03-10T00:00:00"/>
    <d v="2025-03-12T00:00:00"/>
    <s v="F"/>
    <x v="1"/>
    <x v="0"/>
    <x v="0"/>
    <x v="5"/>
    <x v="1"/>
    <x v="10"/>
    <x v="2"/>
  </r>
  <r>
    <s v="TX501876"/>
    <x v="2"/>
    <x v="1"/>
    <n v="58.8"/>
    <n v="117.6"/>
    <d v="2025-03-10T00:00:00"/>
    <d v="2025-03-15T00:00:00"/>
    <s v="F"/>
    <x v="1"/>
    <x v="2"/>
    <x v="0"/>
    <x v="6"/>
    <x v="0"/>
    <x v="10"/>
    <x v="2"/>
  </r>
  <r>
    <s v="TX501877"/>
    <x v="13"/>
    <x v="0"/>
    <n v="31.5"/>
    <n v="31.5"/>
    <d v="2025-03-10T00:00:00"/>
    <d v="2025-03-11T00:00:00"/>
    <s v="F"/>
    <x v="1"/>
    <x v="1"/>
    <x v="0"/>
    <x v="6"/>
    <x v="3"/>
    <x v="10"/>
    <x v="2"/>
  </r>
  <r>
    <s v="TX501878"/>
    <x v="7"/>
    <x v="9"/>
    <n v="36.799999999999997"/>
    <n v="184"/>
    <d v="2025-03-10T00:00:00"/>
    <d v="2025-03-12T00:00:00"/>
    <s v="F"/>
    <x v="0"/>
    <x v="0"/>
    <x v="0"/>
    <x v="8"/>
    <x v="1"/>
    <x v="10"/>
    <x v="2"/>
  </r>
  <r>
    <s v="TX501879"/>
    <x v="3"/>
    <x v="0"/>
    <n v="84.4"/>
    <n v="84.4"/>
    <d v="2025-03-10T00:00:00"/>
    <d v="2025-03-11T00:00:00"/>
    <s v="F"/>
    <x v="0"/>
    <x v="0"/>
    <x v="0"/>
    <x v="8"/>
    <x v="3"/>
    <x v="10"/>
    <x v="2"/>
  </r>
  <r>
    <s v="TX501880"/>
    <x v="14"/>
    <x v="0"/>
    <n v="44.7"/>
    <n v="44.7"/>
    <d v="2025-03-10T00:00:00"/>
    <d v="2025-03-11T00:00:00"/>
    <s v="M"/>
    <x v="0"/>
    <x v="1"/>
    <x v="0"/>
    <x v="8"/>
    <x v="3"/>
    <x v="10"/>
    <x v="1"/>
  </r>
  <r>
    <s v="TX501881"/>
    <x v="9"/>
    <x v="8"/>
    <n v="39.4"/>
    <n v="315.2"/>
    <d v="2025-03-10T00:00:00"/>
    <d v="2025-03-11T00:00:00"/>
    <s v="F"/>
    <x v="1"/>
    <x v="2"/>
    <x v="0"/>
    <x v="8"/>
    <x v="3"/>
    <x v="10"/>
    <x v="2"/>
  </r>
  <r>
    <s v="TX501882"/>
    <x v="11"/>
    <x v="12"/>
    <n v="34.9"/>
    <n v="139.6"/>
    <d v="2025-03-10T00:00:00"/>
    <d v="2025-03-12T00:00:00"/>
    <s v="F"/>
    <x v="0"/>
    <x v="2"/>
    <x v="0"/>
    <x v="8"/>
    <x v="1"/>
    <x v="10"/>
    <x v="2"/>
  </r>
  <r>
    <s v="TX501883"/>
    <x v="1"/>
    <x v="2"/>
    <n v="62.3"/>
    <n v="186.89999999999998"/>
    <d v="2025-03-10T00:00:00"/>
    <d v="2025-03-12T00:00:00"/>
    <s v="M"/>
    <x v="4"/>
    <x v="2"/>
    <x v="0"/>
    <x v="8"/>
    <x v="1"/>
    <x v="10"/>
    <x v="1"/>
  </r>
  <r>
    <s v="TX501884"/>
    <x v="8"/>
    <x v="12"/>
    <n v="21.1"/>
    <n v="84.4"/>
    <d v="2025-03-10T00:00:00"/>
    <d v="2025-03-13T00:00:00"/>
    <s v="M"/>
    <x v="3"/>
    <x v="0"/>
    <x v="0"/>
    <x v="8"/>
    <x v="2"/>
    <x v="10"/>
    <x v="1"/>
  </r>
  <r>
    <s v="TX501885"/>
    <x v="8"/>
    <x v="2"/>
    <n v="33.200000000000003"/>
    <n v="99.600000000000009"/>
    <d v="2025-03-10T00:00:00"/>
    <d v="2025-03-24T00:00:00"/>
    <s v=""/>
    <x v="0"/>
    <x v="4"/>
    <x v="0"/>
    <x v="8"/>
    <x v="12"/>
    <x v="10"/>
    <x v="0"/>
  </r>
  <r>
    <s v="TX501886"/>
    <x v="1"/>
    <x v="12"/>
    <n v="74.5"/>
    <n v="298"/>
    <d v="2025-03-10T00:00:00"/>
    <d v="2025-03-11T00:00:00"/>
    <s v="M"/>
    <x v="4"/>
    <x v="0"/>
    <x v="0"/>
    <x v="8"/>
    <x v="3"/>
    <x v="10"/>
    <x v="1"/>
  </r>
  <r>
    <s v="TX501887"/>
    <x v="10"/>
    <x v="4"/>
    <n v="68.599999999999994"/>
    <n v="823.19999999999993"/>
    <d v="2025-03-10T00:00:00"/>
    <d v="2025-03-13T00:00:00"/>
    <s v="F"/>
    <x v="0"/>
    <x v="2"/>
    <x v="0"/>
    <x v="8"/>
    <x v="2"/>
    <x v="10"/>
    <x v="2"/>
  </r>
  <r>
    <s v="TX501888"/>
    <x v="5"/>
    <x v="21"/>
    <n v="36.4"/>
    <n v="509.59999999999997"/>
    <d v="2025-03-10T00:00:00"/>
    <d v="2025-03-12T00:00:00"/>
    <s v="F"/>
    <x v="0"/>
    <x v="1"/>
    <x v="0"/>
    <x v="9"/>
    <x v="1"/>
    <x v="10"/>
    <x v="2"/>
  </r>
  <r>
    <s v="TX501889"/>
    <x v="16"/>
    <x v="9"/>
    <n v="67.599999999999994"/>
    <n v="338"/>
    <d v="2025-03-11T00:00:00"/>
    <d v="2025-03-14T00:00:00"/>
    <s v="F"/>
    <x v="4"/>
    <x v="1"/>
    <x v="0"/>
    <x v="9"/>
    <x v="2"/>
    <x v="10"/>
    <x v="2"/>
  </r>
  <r>
    <s v="TX501890"/>
    <x v="15"/>
    <x v="0"/>
    <n v="46.3"/>
    <n v="46.3"/>
    <d v="2025-03-11T00:00:00"/>
    <d v="2025-03-12T00:00:00"/>
    <s v="M"/>
    <x v="2"/>
    <x v="0"/>
    <x v="0"/>
    <x v="9"/>
    <x v="3"/>
    <x v="10"/>
    <x v="1"/>
  </r>
  <r>
    <s v="TX501891"/>
    <x v="1"/>
    <x v="2"/>
    <n v="124.2"/>
    <n v="372.6"/>
    <d v="2025-03-11T00:00:00"/>
    <d v="2025-03-13T00:00:00"/>
    <s v="F"/>
    <x v="1"/>
    <x v="2"/>
    <x v="0"/>
    <x v="11"/>
    <x v="1"/>
    <x v="10"/>
    <x v="2"/>
  </r>
  <r>
    <s v="TX501892"/>
    <x v="10"/>
    <x v="1"/>
    <n v="37"/>
    <n v="74"/>
    <d v="2025-03-11T00:00:00"/>
    <d v="2025-03-17T00:00:00"/>
    <s v="M"/>
    <x v="0"/>
    <x v="0"/>
    <x v="0"/>
    <x v="11"/>
    <x v="4"/>
    <x v="10"/>
    <x v="1"/>
  </r>
  <r>
    <s v="TX501893"/>
    <x v="5"/>
    <x v="0"/>
    <n v="41.8"/>
    <n v="41.8"/>
    <d v="2025-03-11T00:00:00"/>
    <d v="2025-03-12T00:00:00"/>
    <s v="M"/>
    <x v="2"/>
    <x v="0"/>
    <x v="0"/>
    <x v="31"/>
    <x v="3"/>
    <x v="10"/>
    <x v="1"/>
  </r>
  <r>
    <s v="TX501894"/>
    <x v="9"/>
    <x v="1"/>
    <n v="57.2"/>
    <n v="114.4"/>
    <d v="2025-03-11T00:00:00"/>
    <d v="2025-03-13T00:00:00"/>
    <s v="M"/>
    <x v="2"/>
    <x v="1"/>
    <x v="0"/>
    <x v="20"/>
    <x v="1"/>
    <x v="10"/>
    <x v="1"/>
  </r>
  <r>
    <s v="TX501895"/>
    <x v="6"/>
    <x v="1"/>
    <n v="47.1"/>
    <n v="94.2"/>
    <d v="2025-03-11T00:00:00"/>
    <d v="2025-03-13T00:00:00"/>
    <s v="F"/>
    <x v="0"/>
    <x v="4"/>
    <x v="0"/>
    <x v="20"/>
    <x v="1"/>
    <x v="10"/>
    <x v="2"/>
  </r>
  <r>
    <s v="TX501896"/>
    <x v="5"/>
    <x v="2"/>
    <n v="86.4"/>
    <n v="259.20000000000005"/>
    <d v="2025-03-11T00:00:00"/>
    <d v="2025-03-12T00:00:00"/>
    <s v="M"/>
    <x v="2"/>
    <x v="1"/>
    <x v="0"/>
    <x v="52"/>
    <x v="3"/>
    <x v="10"/>
    <x v="1"/>
  </r>
  <r>
    <s v="TX501897"/>
    <x v="6"/>
    <x v="9"/>
    <n v="105"/>
    <n v="525"/>
    <d v="2025-03-11T00:00:00"/>
    <d v="2025-03-14T00:00:00"/>
    <s v="M"/>
    <x v="0"/>
    <x v="0"/>
    <x v="0"/>
    <x v="13"/>
    <x v="2"/>
    <x v="10"/>
    <x v="1"/>
  </r>
  <r>
    <s v="TX501898"/>
    <x v="18"/>
    <x v="0"/>
    <n v="33"/>
    <n v="33"/>
    <d v="2025-03-11T00:00:00"/>
    <d v="2025-03-14T00:00:00"/>
    <s v="M"/>
    <x v="4"/>
    <x v="0"/>
    <x v="0"/>
    <x v="21"/>
    <x v="2"/>
    <x v="10"/>
    <x v="1"/>
  </r>
  <r>
    <s v="TX501899"/>
    <x v="6"/>
    <x v="9"/>
    <n v="106.6"/>
    <n v="533"/>
    <d v="2025-03-11T00:00:00"/>
    <d v="2025-03-24T00:00:00"/>
    <s v="F"/>
    <x v="2"/>
    <x v="0"/>
    <x v="0"/>
    <x v="1"/>
    <x v="10"/>
    <x v="10"/>
    <x v="2"/>
  </r>
  <r>
    <s v="TX501900"/>
    <x v="10"/>
    <x v="46"/>
    <n v="26.8"/>
    <n v="857.6"/>
    <d v="2025-03-11T00:00:00"/>
    <d v="2025-03-12T00:00:00"/>
    <s v="F"/>
    <x v="2"/>
    <x v="0"/>
    <x v="0"/>
    <x v="1"/>
    <x v="3"/>
    <x v="10"/>
    <x v="2"/>
  </r>
  <r>
    <s v="TX501901"/>
    <x v="17"/>
    <x v="9"/>
    <n v="25.8"/>
    <n v="129"/>
    <d v="2025-03-11T00:00:00"/>
    <d v="2025-03-11T00:00:00"/>
    <s v="F"/>
    <x v="1"/>
    <x v="2"/>
    <x v="0"/>
    <x v="3"/>
    <x v="7"/>
    <x v="10"/>
    <x v="2"/>
  </r>
  <r>
    <s v="TX501902"/>
    <x v="2"/>
    <x v="2"/>
    <n v="217"/>
    <n v="651"/>
    <d v="2025-03-11T00:00:00"/>
    <d v="2025-03-12T00:00:00"/>
    <s v="F"/>
    <x v="1"/>
    <x v="1"/>
    <x v="0"/>
    <x v="3"/>
    <x v="3"/>
    <x v="10"/>
    <x v="2"/>
  </r>
  <r>
    <s v="TX501903"/>
    <x v="2"/>
    <x v="1"/>
    <n v="97.3"/>
    <n v="194.6"/>
    <d v="2025-03-11T00:00:00"/>
    <d v="2025-03-12T00:00:00"/>
    <s v="M"/>
    <x v="2"/>
    <x v="4"/>
    <x v="0"/>
    <x v="3"/>
    <x v="3"/>
    <x v="10"/>
    <x v="1"/>
  </r>
  <r>
    <s v="TX501904"/>
    <x v="1"/>
    <x v="0"/>
    <n v="49.8"/>
    <n v="49.8"/>
    <d v="2025-03-11T00:00:00"/>
    <d v="2025-03-12T00:00:00"/>
    <s v="F"/>
    <x v="0"/>
    <x v="0"/>
    <x v="0"/>
    <x v="3"/>
    <x v="3"/>
    <x v="10"/>
    <x v="2"/>
  </r>
  <r>
    <s v="TX501905"/>
    <x v="12"/>
    <x v="9"/>
    <n v="32.6"/>
    <n v="163"/>
    <d v="2025-03-11T00:00:00"/>
    <d v="2025-03-12T00:00:00"/>
    <s v="F"/>
    <x v="0"/>
    <x v="0"/>
    <x v="0"/>
    <x v="3"/>
    <x v="3"/>
    <x v="10"/>
    <x v="2"/>
  </r>
  <r>
    <s v="TX501906"/>
    <x v="9"/>
    <x v="1"/>
    <n v="40.1"/>
    <n v="80.2"/>
    <d v="2025-03-11T00:00:00"/>
    <d v="2025-03-14T00:00:00"/>
    <s v="M"/>
    <x v="1"/>
    <x v="2"/>
    <x v="0"/>
    <x v="3"/>
    <x v="2"/>
    <x v="10"/>
    <x v="1"/>
  </r>
  <r>
    <s v="TX501907"/>
    <x v="10"/>
    <x v="1"/>
    <n v="49.4"/>
    <n v="98.8"/>
    <d v="2025-03-11T00:00:00"/>
    <d v="2025-03-13T00:00:00"/>
    <s v="M"/>
    <x v="1"/>
    <x v="0"/>
    <x v="0"/>
    <x v="3"/>
    <x v="1"/>
    <x v="10"/>
    <x v="1"/>
  </r>
  <r>
    <s v="TX501908"/>
    <x v="2"/>
    <x v="0"/>
    <n v="67.3"/>
    <n v="67.3"/>
    <d v="2025-03-11T00:00:00"/>
    <d v="2025-03-12T00:00:00"/>
    <s v="F"/>
    <x v="0"/>
    <x v="2"/>
    <x v="0"/>
    <x v="3"/>
    <x v="3"/>
    <x v="10"/>
    <x v="2"/>
  </r>
  <r>
    <s v="TX501909"/>
    <x v="18"/>
    <x v="12"/>
    <n v="44.5"/>
    <n v="178"/>
    <d v="2025-03-11T00:00:00"/>
    <d v="2025-03-14T00:00:00"/>
    <s v=""/>
    <x v="1"/>
    <x v="0"/>
    <x v="0"/>
    <x v="3"/>
    <x v="2"/>
    <x v="10"/>
    <x v="0"/>
  </r>
  <r>
    <s v="TX501910"/>
    <x v="6"/>
    <x v="5"/>
    <n v="111.1"/>
    <n v="1222.0999999999999"/>
    <d v="2025-03-11T00:00:00"/>
    <d v="2025-03-12T00:00:00"/>
    <s v="F"/>
    <x v="4"/>
    <x v="0"/>
    <x v="0"/>
    <x v="3"/>
    <x v="3"/>
    <x v="10"/>
    <x v="2"/>
  </r>
  <r>
    <s v="TX501911"/>
    <x v="8"/>
    <x v="2"/>
    <n v="19.7"/>
    <n v="59.099999999999994"/>
    <d v="2025-03-11T00:00:00"/>
    <d v="2025-03-12T00:00:00"/>
    <s v="F"/>
    <x v="4"/>
    <x v="4"/>
    <x v="0"/>
    <x v="3"/>
    <x v="3"/>
    <x v="10"/>
    <x v="2"/>
  </r>
  <r>
    <s v="TX501912"/>
    <x v="1"/>
    <x v="0"/>
    <n v="40.299999999999997"/>
    <n v="40.299999999999997"/>
    <d v="2025-03-11T00:00:00"/>
    <d v="2025-03-12T00:00:00"/>
    <s v="O"/>
    <x v="1"/>
    <x v="0"/>
    <x v="0"/>
    <x v="3"/>
    <x v="3"/>
    <x v="10"/>
    <x v="3"/>
  </r>
  <r>
    <s v="TX501913"/>
    <x v="6"/>
    <x v="1"/>
    <n v="108.8"/>
    <n v="217.6"/>
    <d v="2025-03-11T00:00:00"/>
    <d v="2025-03-16T00:00:00"/>
    <s v="M"/>
    <x v="0"/>
    <x v="2"/>
    <x v="0"/>
    <x v="6"/>
    <x v="0"/>
    <x v="10"/>
    <x v="1"/>
  </r>
  <r>
    <s v="TX501914"/>
    <x v="8"/>
    <x v="2"/>
    <n v="48.2"/>
    <n v="144.60000000000002"/>
    <d v="2025-03-11T00:00:00"/>
    <d v="2025-03-16T00:00:00"/>
    <s v="F"/>
    <x v="4"/>
    <x v="0"/>
    <x v="0"/>
    <x v="7"/>
    <x v="0"/>
    <x v="10"/>
    <x v="2"/>
  </r>
  <r>
    <s v="TX501915"/>
    <x v="2"/>
    <x v="2"/>
    <n v="104.7"/>
    <n v="314.10000000000002"/>
    <d v="2025-03-11T00:00:00"/>
    <d v="2025-03-13T00:00:00"/>
    <s v="F"/>
    <x v="0"/>
    <x v="1"/>
    <x v="0"/>
    <x v="7"/>
    <x v="1"/>
    <x v="10"/>
    <x v="2"/>
  </r>
  <r>
    <s v="TX501916"/>
    <x v="1"/>
    <x v="1"/>
    <n v="80.599999999999994"/>
    <n v="161.19999999999999"/>
    <d v="2025-03-11T00:00:00"/>
    <d v="2025-03-11T00:00:00"/>
    <s v="F"/>
    <x v="1"/>
    <x v="0"/>
    <x v="0"/>
    <x v="8"/>
    <x v="7"/>
    <x v="10"/>
    <x v="2"/>
  </r>
  <r>
    <s v="TX501917"/>
    <x v="6"/>
    <x v="0"/>
    <n v="65.5"/>
    <n v="65.5"/>
    <d v="2025-03-11T00:00:00"/>
    <d v="2025-03-13T00:00:00"/>
    <s v="O"/>
    <x v="1"/>
    <x v="0"/>
    <x v="0"/>
    <x v="8"/>
    <x v="1"/>
    <x v="10"/>
    <x v="3"/>
  </r>
  <r>
    <s v="TX501918"/>
    <x v="9"/>
    <x v="2"/>
    <n v="61.4"/>
    <n v="184.2"/>
    <d v="2025-03-11T00:00:00"/>
    <d v="2025-03-13T00:00:00"/>
    <s v="F"/>
    <x v="4"/>
    <x v="2"/>
    <x v="0"/>
    <x v="8"/>
    <x v="1"/>
    <x v="10"/>
    <x v="2"/>
  </r>
  <r>
    <s v="TX501919"/>
    <x v="0"/>
    <x v="0"/>
    <n v="12.5"/>
    <n v="12.5"/>
    <d v="2025-03-12T00:00:00"/>
    <d v="2025-03-15T00:00:00"/>
    <s v="F"/>
    <x v="0"/>
    <x v="1"/>
    <x v="0"/>
    <x v="8"/>
    <x v="2"/>
    <x v="10"/>
    <x v="2"/>
  </r>
  <r>
    <s v="TX501920"/>
    <x v="4"/>
    <x v="12"/>
    <n v="35.1"/>
    <n v="140.4"/>
    <d v="2025-03-12T00:00:00"/>
    <d v="2025-03-13T00:00:00"/>
    <s v="M"/>
    <x v="2"/>
    <x v="1"/>
    <x v="0"/>
    <x v="17"/>
    <x v="3"/>
    <x v="10"/>
    <x v="1"/>
  </r>
  <r>
    <s v="TX501921"/>
    <x v="5"/>
    <x v="1"/>
    <n v="55.7"/>
    <n v="111.4"/>
    <d v="2025-03-12T00:00:00"/>
    <d v="2025-03-13T00:00:00"/>
    <s v="M"/>
    <x v="0"/>
    <x v="1"/>
    <x v="0"/>
    <x v="26"/>
    <x v="3"/>
    <x v="10"/>
    <x v="1"/>
  </r>
  <r>
    <s v="TX501922"/>
    <x v="7"/>
    <x v="1"/>
    <n v="57.7"/>
    <n v="115.4"/>
    <d v="2025-03-12T00:00:00"/>
    <d v="2025-03-14T00:00:00"/>
    <s v="M"/>
    <x v="4"/>
    <x v="1"/>
    <x v="0"/>
    <x v="9"/>
    <x v="1"/>
    <x v="10"/>
    <x v="1"/>
  </r>
  <r>
    <s v="TX501923"/>
    <x v="2"/>
    <x v="13"/>
    <n v="85.7"/>
    <n v="514.20000000000005"/>
    <d v="2025-03-12T00:00:00"/>
    <d v="2025-03-13T00:00:00"/>
    <s v="M"/>
    <x v="3"/>
    <x v="2"/>
    <x v="0"/>
    <x v="9"/>
    <x v="3"/>
    <x v="10"/>
    <x v="1"/>
  </r>
  <r>
    <s v="TX501924"/>
    <x v="2"/>
    <x v="2"/>
    <n v="86.9"/>
    <n v="260.70000000000005"/>
    <d v="2025-03-12T00:00:00"/>
    <d v="2025-03-14T00:00:00"/>
    <s v="F"/>
    <x v="1"/>
    <x v="0"/>
    <x v="0"/>
    <x v="11"/>
    <x v="1"/>
    <x v="10"/>
    <x v="2"/>
  </r>
  <r>
    <s v="TX501925"/>
    <x v="18"/>
    <x v="1"/>
    <n v="46.4"/>
    <n v="92.8"/>
    <d v="2025-03-12T00:00:00"/>
    <d v="2025-03-15T00:00:00"/>
    <s v="F"/>
    <x v="4"/>
    <x v="0"/>
    <x v="0"/>
    <x v="11"/>
    <x v="2"/>
    <x v="10"/>
    <x v="2"/>
  </r>
  <r>
    <s v="TX501926"/>
    <x v="5"/>
    <x v="2"/>
    <n v="25.4"/>
    <n v="76.199999999999989"/>
    <d v="2025-03-12T00:00:00"/>
    <d v="2025-03-12T00:00:00"/>
    <s v="F"/>
    <x v="2"/>
    <x v="2"/>
    <x v="0"/>
    <x v="18"/>
    <x v="7"/>
    <x v="10"/>
    <x v="2"/>
  </r>
  <r>
    <s v="TX501927"/>
    <x v="10"/>
    <x v="2"/>
    <n v="47.8"/>
    <n v="143.39999999999998"/>
    <d v="2025-03-12T00:00:00"/>
    <d v="2025-03-12T00:00:00"/>
    <s v=""/>
    <x v="2"/>
    <x v="2"/>
    <x v="0"/>
    <x v="19"/>
    <x v="7"/>
    <x v="10"/>
    <x v="0"/>
  </r>
  <r>
    <s v="TX501928"/>
    <x v="8"/>
    <x v="10"/>
    <n v="18.399999999999999"/>
    <n v="349.59999999999997"/>
    <d v="2025-03-12T00:00:00"/>
    <d v="2025-03-14T00:00:00"/>
    <s v="O"/>
    <x v="2"/>
    <x v="0"/>
    <x v="0"/>
    <x v="20"/>
    <x v="1"/>
    <x v="10"/>
    <x v="3"/>
  </r>
  <r>
    <s v="TX501929"/>
    <x v="12"/>
    <x v="2"/>
    <n v="65.5"/>
    <n v="196.5"/>
    <d v="2025-03-12T00:00:00"/>
    <d v="2025-03-20T00:00:00"/>
    <s v="F"/>
    <x v="0"/>
    <x v="0"/>
    <x v="0"/>
    <x v="21"/>
    <x v="9"/>
    <x v="10"/>
    <x v="2"/>
  </r>
  <r>
    <s v="TX501930"/>
    <x v="10"/>
    <x v="1"/>
    <n v="50.6"/>
    <n v="101.2"/>
    <d v="2025-03-12T00:00:00"/>
    <d v="2025-03-15T00:00:00"/>
    <s v="M"/>
    <x v="2"/>
    <x v="4"/>
    <x v="0"/>
    <x v="21"/>
    <x v="2"/>
    <x v="10"/>
    <x v="1"/>
  </r>
  <r>
    <s v="TX501931"/>
    <x v="3"/>
    <x v="9"/>
    <n v="69"/>
    <n v="345"/>
    <d v="2025-03-12T00:00:00"/>
    <d v="2025-03-16T00:00:00"/>
    <s v="M"/>
    <x v="3"/>
    <x v="0"/>
    <x v="0"/>
    <x v="21"/>
    <x v="5"/>
    <x v="10"/>
    <x v="1"/>
  </r>
  <r>
    <s v="TX501932"/>
    <x v="9"/>
    <x v="8"/>
    <n v="51.1"/>
    <n v="408.8"/>
    <d v="2025-03-12T00:00:00"/>
    <d v="2025-03-14T00:00:00"/>
    <s v="F"/>
    <x v="0"/>
    <x v="0"/>
    <x v="0"/>
    <x v="1"/>
    <x v="1"/>
    <x v="10"/>
    <x v="2"/>
  </r>
  <r>
    <s v="TX501933"/>
    <x v="9"/>
    <x v="0"/>
    <n v="36.1"/>
    <n v="36.1"/>
    <d v="2025-03-12T00:00:00"/>
    <d v="2025-03-13T00:00:00"/>
    <s v="F"/>
    <x v="0"/>
    <x v="2"/>
    <x v="0"/>
    <x v="34"/>
    <x v="3"/>
    <x v="10"/>
    <x v="2"/>
  </r>
  <r>
    <s v="TX501934"/>
    <x v="14"/>
    <x v="0"/>
    <n v="18.7"/>
    <n v="18.7"/>
    <d v="2025-03-12T00:00:00"/>
    <d v="2025-03-13T00:00:00"/>
    <s v="M"/>
    <x v="0"/>
    <x v="0"/>
    <x v="0"/>
    <x v="3"/>
    <x v="3"/>
    <x v="10"/>
    <x v="1"/>
  </r>
  <r>
    <s v="TX501935"/>
    <x v="17"/>
    <x v="0"/>
    <n v="30.1"/>
    <n v="30.1"/>
    <d v="2025-03-12T00:00:00"/>
    <d v="2025-03-15T00:00:00"/>
    <s v="F"/>
    <x v="3"/>
    <x v="1"/>
    <x v="0"/>
    <x v="3"/>
    <x v="2"/>
    <x v="10"/>
    <x v="2"/>
  </r>
  <r>
    <s v="TX501936"/>
    <x v="8"/>
    <x v="0"/>
    <n v="16.3"/>
    <n v="16.3"/>
    <d v="2025-03-12T00:00:00"/>
    <d v="2025-03-13T00:00:00"/>
    <s v="M"/>
    <x v="3"/>
    <x v="0"/>
    <x v="0"/>
    <x v="3"/>
    <x v="3"/>
    <x v="10"/>
    <x v="1"/>
  </r>
  <r>
    <s v="TX501937"/>
    <x v="1"/>
    <x v="2"/>
    <n v="63.8"/>
    <n v="191.39999999999998"/>
    <d v="2025-03-12T00:00:00"/>
    <d v="2025-03-17T00:00:00"/>
    <s v="F"/>
    <x v="2"/>
    <x v="1"/>
    <x v="0"/>
    <x v="3"/>
    <x v="0"/>
    <x v="10"/>
    <x v="2"/>
  </r>
  <r>
    <s v="TX501938"/>
    <x v="1"/>
    <x v="3"/>
    <n v="73.900000000000006"/>
    <n v="517.30000000000007"/>
    <d v="2025-03-12T00:00:00"/>
    <d v="2025-03-12T00:00:00"/>
    <s v="F"/>
    <x v="0"/>
    <x v="1"/>
    <x v="0"/>
    <x v="3"/>
    <x v="7"/>
    <x v="10"/>
    <x v="2"/>
  </r>
  <r>
    <s v="TX501939"/>
    <x v="0"/>
    <x v="1"/>
    <n v="20.2"/>
    <n v="40.4"/>
    <d v="2025-03-12T00:00:00"/>
    <d v="2025-03-13T00:00:00"/>
    <s v="M"/>
    <x v="0"/>
    <x v="1"/>
    <x v="0"/>
    <x v="3"/>
    <x v="3"/>
    <x v="10"/>
    <x v="1"/>
  </r>
  <r>
    <s v="TX501940"/>
    <x v="11"/>
    <x v="5"/>
    <n v="29.5"/>
    <n v="324.5"/>
    <d v="2025-03-12T00:00:00"/>
    <d v="2025-03-13T00:00:00"/>
    <s v="M"/>
    <x v="0"/>
    <x v="0"/>
    <x v="0"/>
    <x v="3"/>
    <x v="3"/>
    <x v="10"/>
    <x v="1"/>
  </r>
  <r>
    <s v="TX501941"/>
    <x v="15"/>
    <x v="3"/>
    <n v="37.9"/>
    <n v="265.3"/>
    <d v="2025-03-12T00:00:00"/>
    <d v="2025-03-13T00:00:00"/>
    <s v="M"/>
    <x v="1"/>
    <x v="0"/>
    <x v="0"/>
    <x v="3"/>
    <x v="3"/>
    <x v="10"/>
    <x v="1"/>
  </r>
  <r>
    <s v="TX501942"/>
    <x v="2"/>
    <x v="0"/>
    <n v="56.5"/>
    <n v="56.5"/>
    <d v="2025-03-12T00:00:00"/>
    <d v="2025-03-13T00:00:00"/>
    <s v="F"/>
    <x v="2"/>
    <x v="1"/>
    <x v="0"/>
    <x v="3"/>
    <x v="3"/>
    <x v="10"/>
    <x v="2"/>
  </r>
  <r>
    <s v="TX501943"/>
    <x v="2"/>
    <x v="1"/>
    <n v="66.900000000000006"/>
    <n v="133.80000000000001"/>
    <d v="2025-03-12T00:00:00"/>
    <d v="2025-03-18T00:00:00"/>
    <s v="M"/>
    <x v="1"/>
    <x v="4"/>
    <x v="0"/>
    <x v="25"/>
    <x v="4"/>
    <x v="10"/>
    <x v="1"/>
  </r>
  <r>
    <s v="TX501944"/>
    <x v="2"/>
    <x v="9"/>
    <n v="51.9"/>
    <n v="259.5"/>
    <d v="2025-03-12T00:00:00"/>
    <d v="2025-03-15T00:00:00"/>
    <s v="M"/>
    <x v="1"/>
    <x v="0"/>
    <x v="0"/>
    <x v="7"/>
    <x v="2"/>
    <x v="10"/>
    <x v="1"/>
  </r>
  <r>
    <s v="TX501945"/>
    <x v="2"/>
    <x v="1"/>
    <n v="75.599999999999994"/>
    <n v="151.19999999999999"/>
    <d v="2025-03-12T00:00:00"/>
    <d v="2025-03-15T00:00:00"/>
    <s v="M"/>
    <x v="1"/>
    <x v="0"/>
    <x v="0"/>
    <x v="8"/>
    <x v="2"/>
    <x v="10"/>
    <x v="1"/>
  </r>
  <r>
    <s v="TX501946"/>
    <x v="12"/>
    <x v="13"/>
    <n v="47.3"/>
    <n v="283.79999999999995"/>
    <d v="2025-03-12T00:00:00"/>
    <d v="2025-03-23T00:00:00"/>
    <s v="M"/>
    <x v="0"/>
    <x v="0"/>
    <x v="0"/>
    <x v="8"/>
    <x v="11"/>
    <x v="10"/>
    <x v="1"/>
  </r>
  <r>
    <s v="TX501947"/>
    <x v="4"/>
    <x v="0"/>
    <n v="20.6"/>
    <n v="20.6"/>
    <d v="2025-03-12T00:00:00"/>
    <d v="2025-03-13T00:00:00"/>
    <s v=""/>
    <x v="0"/>
    <x v="1"/>
    <x v="0"/>
    <x v="8"/>
    <x v="3"/>
    <x v="10"/>
    <x v="0"/>
  </r>
  <r>
    <s v="TX501948"/>
    <x v="6"/>
    <x v="2"/>
    <n v="49.7"/>
    <n v="149.10000000000002"/>
    <d v="2025-03-12T00:00:00"/>
    <d v="2025-03-14T00:00:00"/>
    <s v="M"/>
    <x v="0"/>
    <x v="1"/>
    <x v="0"/>
    <x v="8"/>
    <x v="1"/>
    <x v="10"/>
    <x v="1"/>
  </r>
  <r>
    <s v="TX501949"/>
    <x v="3"/>
    <x v="0"/>
    <n v="37.9"/>
    <n v="37.9"/>
    <d v="2025-03-12T00:00:00"/>
    <d v="2025-03-14T00:00:00"/>
    <s v="F"/>
    <x v="0"/>
    <x v="0"/>
    <x v="0"/>
    <x v="8"/>
    <x v="1"/>
    <x v="10"/>
    <x v="2"/>
  </r>
  <r>
    <s v="TX501950"/>
    <x v="13"/>
    <x v="20"/>
    <n v="32"/>
    <n v="480"/>
    <d v="2025-03-12T00:00:00"/>
    <d v="2025-03-14T00:00:00"/>
    <s v="F"/>
    <x v="4"/>
    <x v="0"/>
    <x v="0"/>
    <x v="11"/>
    <x v="1"/>
    <x v="10"/>
    <x v="2"/>
  </r>
  <r>
    <s v="TX501951"/>
    <x v="10"/>
    <x v="16"/>
    <n v="38.5"/>
    <n v="693"/>
    <d v="2025-03-13T00:00:00"/>
    <d v="2025-03-14T00:00:00"/>
    <s v="M"/>
    <x v="0"/>
    <x v="2"/>
    <x v="0"/>
    <x v="11"/>
    <x v="3"/>
    <x v="10"/>
    <x v="1"/>
  </r>
  <r>
    <s v="TX501952"/>
    <x v="0"/>
    <x v="12"/>
    <n v="11.7"/>
    <n v="46.8"/>
    <d v="2025-03-13T00:00:00"/>
    <d v="2025-03-15T00:00:00"/>
    <s v="F"/>
    <x v="1"/>
    <x v="0"/>
    <x v="0"/>
    <x v="20"/>
    <x v="1"/>
    <x v="10"/>
    <x v="2"/>
  </r>
  <r>
    <s v="TX501953"/>
    <x v="3"/>
    <x v="13"/>
    <n v="83.8"/>
    <n v="502.79999999999995"/>
    <d v="2025-03-13T00:00:00"/>
    <d v="2025-03-14T00:00:00"/>
    <s v="M"/>
    <x v="0"/>
    <x v="0"/>
    <x v="0"/>
    <x v="21"/>
    <x v="3"/>
    <x v="10"/>
    <x v="1"/>
  </r>
  <r>
    <s v="TX501954"/>
    <x v="0"/>
    <x v="3"/>
    <n v="14"/>
    <n v="98"/>
    <d v="2025-03-13T00:00:00"/>
    <d v="2025-03-16T00:00:00"/>
    <s v="M"/>
    <x v="0"/>
    <x v="1"/>
    <x v="0"/>
    <x v="22"/>
    <x v="2"/>
    <x v="10"/>
    <x v="1"/>
  </r>
  <r>
    <s v="TX501955"/>
    <x v="16"/>
    <x v="12"/>
    <n v="77.3"/>
    <n v="309.2"/>
    <d v="2025-03-13T00:00:00"/>
    <d v="2025-03-15T00:00:00"/>
    <s v="F"/>
    <x v="4"/>
    <x v="2"/>
    <x v="0"/>
    <x v="3"/>
    <x v="1"/>
    <x v="10"/>
    <x v="2"/>
  </r>
  <r>
    <s v="TX501956"/>
    <x v="2"/>
    <x v="1"/>
    <n v="76.900000000000006"/>
    <n v="153.80000000000001"/>
    <d v="2025-03-13T00:00:00"/>
    <d v="2025-03-17T00:00:00"/>
    <s v="F"/>
    <x v="0"/>
    <x v="1"/>
    <x v="0"/>
    <x v="3"/>
    <x v="5"/>
    <x v="10"/>
    <x v="2"/>
  </r>
  <r>
    <s v="TX501957"/>
    <x v="1"/>
    <x v="0"/>
    <n v="48"/>
    <n v="48"/>
    <d v="2025-03-13T00:00:00"/>
    <d v="2025-03-15T00:00:00"/>
    <s v="F"/>
    <x v="1"/>
    <x v="2"/>
    <x v="0"/>
    <x v="3"/>
    <x v="1"/>
    <x v="10"/>
    <x v="2"/>
  </r>
  <r>
    <s v="TX501958"/>
    <x v="2"/>
    <x v="0"/>
    <n v="94.5"/>
    <n v="94.5"/>
    <d v="2025-03-13T00:00:00"/>
    <d v="2025-03-16T00:00:00"/>
    <s v="M"/>
    <x v="1"/>
    <x v="1"/>
    <x v="0"/>
    <x v="3"/>
    <x v="2"/>
    <x v="10"/>
    <x v="1"/>
  </r>
  <r>
    <s v="TX501959"/>
    <x v="10"/>
    <x v="2"/>
    <n v="58.4"/>
    <n v="175.2"/>
    <d v="2025-03-13T00:00:00"/>
    <d v="2025-03-15T00:00:00"/>
    <s v="F"/>
    <x v="1"/>
    <x v="2"/>
    <x v="0"/>
    <x v="3"/>
    <x v="1"/>
    <x v="10"/>
    <x v="2"/>
  </r>
  <r>
    <s v="TX501960"/>
    <x v="7"/>
    <x v="15"/>
    <n v="42.2"/>
    <n v="548.6"/>
    <d v="2025-03-13T00:00:00"/>
    <d v="2025-03-13T00:00:00"/>
    <s v="M"/>
    <x v="0"/>
    <x v="0"/>
    <x v="0"/>
    <x v="25"/>
    <x v="7"/>
    <x v="10"/>
    <x v="1"/>
  </r>
  <r>
    <s v="TX501961"/>
    <x v="6"/>
    <x v="1"/>
    <n v="152.19999999999999"/>
    <n v="304.39999999999998"/>
    <d v="2025-03-13T00:00:00"/>
    <d v="2025-03-14T00:00:00"/>
    <s v="M"/>
    <x v="4"/>
    <x v="1"/>
    <x v="0"/>
    <x v="25"/>
    <x v="3"/>
    <x v="10"/>
    <x v="1"/>
  </r>
  <r>
    <s v="TX501962"/>
    <x v="6"/>
    <x v="25"/>
    <n v="72"/>
    <n v="1728"/>
    <d v="2025-03-13T00:00:00"/>
    <d v="2025-03-14T00:00:00"/>
    <s v="M"/>
    <x v="0"/>
    <x v="1"/>
    <x v="0"/>
    <x v="6"/>
    <x v="3"/>
    <x v="10"/>
    <x v="1"/>
  </r>
  <r>
    <s v="TX501963"/>
    <x v="1"/>
    <x v="44"/>
    <n v="70.900000000000006"/>
    <n v="1630.7"/>
    <d v="2025-03-13T00:00:00"/>
    <d v="2025-03-14T00:00:00"/>
    <s v="F"/>
    <x v="2"/>
    <x v="0"/>
    <x v="0"/>
    <x v="8"/>
    <x v="3"/>
    <x v="10"/>
    <x v="2"/>
  </r>
  <r>
    <s v="TX501964"/>
    <x v="2"/>
    <x v="1"/>
    <n v="53.7"/>
    <n v="107.4"/>
    <d v="2025-03-13T00:00:00"/>
    <d v="2025-03-14T00:00:00"/>
    <s v="M"/>
    <x v="2"/>
    <x v="2"/>
    <x v="0"/>
    <x v="8"/>
    <x v="3"/>
    <x v="10"/>
    <x v="1"/>
  </r>
  <r>
    <s v="TX501965"/>
    <x v="9"/>
    <x v="12"/>
    <n v="42.9"/>
    <n v="171.6"/>
    <d v="2025-03-13T00:00:00"/>
    <d v="2025-03-14T00:00:00"/>
    <s v="F"/>
    <x v="2"/>
    <x v="4"/>
    <x v="0"/>
    <x v="9"/>
    <x v="3"/>
    <x v="10"/>
    <x v="2"/>
  </r>
  <r>
    <s v="TX501966"/>
    <x v="2"/>
    <x v="3"/>
    <n v="107.5"/>
    <n v="752.5"/>
    <d v="2025-03-13T00:00:00"/>
    <d v="2025-03-14T00:00:00"/>
    <s v="M"/>
    <x v="1"/>
    <x v="0"/>
    <x v="0"/>
    <x v="11"/>
    <x v="3"/>
    <x v="10"/>
    <x v="1"/>
  </r>
  <r>
    <s v="TX501967"/>
    <x v="17"/>
    <x v="27"/>
    <n v="21.5"/>
    <n v="344"/>
    <d v="2025-03-13T00:00:00"/>
    <d v="2025-03-14T00:00:00"/>
    <s v="M"/>
    <x v="1"/>
    <x v="1"/>
    <x v="0"/>
    <x v="32"/>
    <x v="3"/>
    <x v="10"/>
    <x v="1"/>
  </r>
  <r>
    <s v="TX501968"/>
    <x v="3"/>
    <x v="9"/>
    <n v="85.3"/>
    <n v="426.5"/>
    <d v="2025-03-13T00:00:00"/>
    <d v="2025-03-15T00:00:00"/>
    <s v="F"/>
    <x v="3"/>
    <x v="0"/>
    <x v="0"/>
    <x v="18"/>
    <x v="1"/>
    <x v="10"/>
    <x v="2"/>
  </r>
  <r>
    <s v="TX501969"/>
    <x v="7"/>
    <x v="9"/>
    <n v="80.8"/>
    <n v="404"/>
    <d v="2025-03-13T00:00:00"/>
    <d v="2025-03-21T00:00:00"/>
    <s v="O"/>
    <x v="1"/>
    <x v="1"/>
    <x v="0"/>
    <x v="19"/>
    <x v="9"/>
    <x v="10"/>
    <x v="3"/>
  </r>
  <r>
    <s v="TX501970"/>
    <x v="2"/>
    <x v="2"/>
    <n v="123.1"/>
    <n v="369.29999999999995"/>
    <d v="2025-03-13T00:00:00"/>
    <d v="2025-03-15T00:00:00"/>
    <s v=""/>
    <x v="2"/>
    <x v="0"/>
    <x v="0"/>
    <x v="21"/>
    <x v="1"/>
    <x v="10"/>
    <x v="0"/>
  </r>
  <r>
    <s v="TX501971"/>
    <x v="8"/>
    <x v="1"/>
    <n v="36.9"/>
    <n v="73.8"/>
    <d v="2025-03-13T00:00:00"/>
    <d v="2025-03-15T00:00:00"/>
    <s v="F"/>
    <x v="2"/>
    <x v="4"/>
    <x v="0"/>
    <x v="51"/>
    <x v="1"/>
    <x v="10"/>
    <x v="2"/>
  </r>
  <r>
    <s v="TX501972"/>
    <x v="11"/>
    <x v="9"/>
    <n v="40"/>
    <n v="200"/>
    <d v="2025-03-13T00:00:00"/>
    <d v="2025-03-14T00:00:00"/>
    <s v="M"/>
    <x v="0"/>
    <x v="0"/>
    <x v="0"/>
    <x v="1"/>
    <x v="3"/>
    <x v="10"/>
    <x v="1"/>
  </r>
  <r>
    <s v="TX501973"/>
    <x v="6"/>
    <x v="2"/>
    <n v="55.5"/>
    <n v="166.5"/>
    <d v="2025-03-13T00:00:00"/>
    <d v="2025-03-14T00:00:00"/>
    <s v="M"/>
    <x v="4"/>
    <x v="2"/>
    <x v="0"/>
    <x v="1"/>
    <x v="3"/>
    <x v="10"/>
    <x v="1"/>
  </r>
  <r>
    <s v="TX501974"/>
    <x v="0"/>
    <x v="12"/>
    <n v="20.5"/>
    <n v="82"/>
    <d v="2025-03-13T00:00:00"/>
    <d v="2025-03-17T00:00:00"/>
    <s v="F"/>
    <x v="4"/>
    <x v="0"/>
    <x v="0"/>
    <x v="1"/>
    <x v="5"/>
    <x v="10"/>
    <x v="2"/>
  </r>
  <r>
    <s v="TX501975"/>
    <x v="18"/>
    <x v="12"/>
    <n v="50.1"/>
    <n v="200.4"/>
    <d v="2025-03-13T00:00:00"/>
    <d v="2025-03-14T00:00:00"/>
    <s v="F"/>
    <x v="4"/>
    <x v="0"/>
    <x v="0"/>
    <x v="1"/>
    <x v="3"/>
    <x v="10"/>
    <x v="2"/>
  </r>
  <r>
    <s v="TX501976"/>
    <x v="9"/>
    <x v="0"/>
    <n v="35.9"/>
    <n v="35.9"/>
    <d v="2025-03-13T00:00:00"/>
    <d v="2025-03-15T00:00:00"/>
    <s v="M"/>
    <x v="1"/>
    <x v="2"/>
    <x v="0"/>
    <x v="1"/>
    <x v="1"/>
    <x v="10"/>
    <x v="1"/>
  </r>
  <r>
    <s v="TX501977"/>
    <x v="13"/>
    <x v="12"/>
    <n v="29.4"/>
    <n v="117.6"/>
    <d v="2025-03-14T00:00:00"/>
    <d v="2025-03-15T00:00:00"/>
    <s v="M"/>
    <x v="2"/>
    <x v="2"/>
    <x v="0"/>
    <x v="33"/>
    <x v="3"/>
    <x v="10"/>
    <x v="1"/>
  </r>
  <r>
    <s v="TX501978"/>
    <x v="8"/>
    <x v="9"/>
    <n v="29.1"/>
    <n v="145.5"/>
    <d v="2025-03-14T00:00:00"/>
    <d v="2025-03-22T00:00:00"/>
    <s v="O"/>
    <x v="2"/>
    <x v="1"/>
    <x v="0"/>
    <x v="33"/>
    <x v="9"/>
    <x v="10"/>
    <x v="3"/>
  </r>
  <r>
    <s v="TX501979"/>
    <x v="8"/>
    <x v="2"/>
    <n v="33.5"/>
    <n v="100.5"/>
    <d v="2025-03-14T00:00:00"/>
    <d v="2025-03-26T00:00:00"/>
    <s v="M"/>
    <x v="0"/>
    <x v="2"/>
    <x v="0"/>
    <x v="22"/>
    <x v="13"/>
    <x v="10"/>
    <x v="1"/>
  </r>
  <r>
    <s v="TX501980"/>
    <x v="4"/>
    <x v="7"/>
    <n v="36"/>
    <n v="360"/>
    <d v="2025-03-14T00:00:00"/>
    <d v="2025-03-14T00:00:00"/>
    <s v="M"/>
    <x v="3"/>
    <x v="2"/>
    <x v="0"/>
    <x v="3"/>
    <x v="7"/>
    <x v="10"/>
    <x v="1"/>
  </r>
  <r>
    <s v="TX501981"/>
    <x v="16"/>
    <x v="2"/>
    <n v="57.3"/>
    <n v="171.89999999999998"/>
    <d v="2025-03-14T00:00:00"/>
    <d v="2025-03-18T00:00:00"/>
    <s v="F"/>
    <x v="0"/>
    <x v="2"/>
    <x v="0"/>
    <x v="3"/>
    <x v="5"/>
    <x v="10"/>
    <x v="2"/>
  </r>
  <r>
    <s v="TX501982"/>
    <x v="1"/>
    <x v="0"/>
    <n v="81.400000000000006"/>
    <n v="81.400000000000006"/>
    <d v="2025-03-14T00:00:00"/>
    <d v="2025-03-15T00:00:00"/>
    <s v="F"/>
    <x v="2"/>
    <x v="2"/>
    <x v="0"/>
    <x v="3"/>
    <x v="3"/>
    <x v="10"/>
    <x v="2"/>
  </r>
  <r>
    <s v="TX501983"/>
    <x v="10"/>
    <x v="1"/>
    <n v="35.299999999999997"/>
    <n v="70.599999999999994"/>
    <d v="2025-03-14T00:00:00"/>
    <d v="2025-03-18T00:00:00"/>
    <s v="M"/>
    <x v="0"/>
    <x v="2"/>
    <x v="0"/>
    <x v="3"/>
    <x v="5"/>
    <x v="10"/>
    <x v="1"/>
  </r>
  <r>
    <s v="TX501984"/>
    <x v="3"/>
    <x v="0"/>
    <n v="36.1"/>
    <n v="36.1"/>
    <d v="2025-03-14T00:00:00"/>
    <d v="2025-03-15T00:00:00"/>
    <s v="F"/>
    <x v="4"/>
    <x v="0"/>
    <x v="0"/>
    <x v="3"/>
    <x v="3"/>
    <x v="10"/>
    <x v="2"/>
  </r>
  <r>
    <s v="TX501985"/>
    <x v="1"/>
    <x v="1"/>
    <n v="36.700000000000003"/>
    <n v="73.400000000000006"/>
    <d v="2025-03-14T00:00:00"/>
    <d v="2025-03-16T00:00:00"/>
    <s v="F"/>
    <x v="0"/>
    <x v="2"/>
    <x v="0"/>
    <x v="3"/>
    <x v="1"/>
    <x v="10"/>
    <x v="2"/>
  </r>
  <r>
    <s v="TX501986"/>
    <x v="10"/>
    <x v="0"/>
    <n v="20.9"/>
    <n v="20.9"/>
    <d v="2025-03-14T00:00:00"/>
    <d v="2025-03-16T00:00:00"/>
    <s v="F"/>
    <x v="0"/>
    <x v="4"/>
    <x v="0"/>
    <x v="3"/>
    <x v="1"/>
    <x v="10"/>
    <x v="2"/>
  </r>
  <r>
    <s v="TX501987"/>
    <x v="12"/>
    <x v="2"/>
    <n v="58.8"/>
    <n v="176.39999999999998"/>
    <d v="2025-03-14T00:00:00"/>
    <d v="2025-03-18T00:00:00"/>
    <s v="M"/>
    <x v="0"/>
    <x v="2"/>
    <x v="0"/>
    <x v="25"/>
    <x v="5"/>
    <x v="10"/>
    <x v="1"/>
  </r>
  <r>
    <s v="TX501988"/>
    <x v="2"/>
    <x v="2"/>
    <n v="97.6"/>
    <n v="292.79999999999995"/>
    <d v="2025-03-15T00:00:00"/>
    <d v="2025-03-17T00:00:00"/>
    <s v=""/>
    <x v="0"/>
    <x v="0"/>
    <x v="0"/>
    <x v="6"/>
    <x v="1"/>
    <x v="10"/>
    <x v="0"/>
  </r>
  <r>
    <s v="TX501989"/>
    <x v="1"/>
    <x v="1"/>
    <n v="58.7"/>
    <n v="117.4"/>
    <d v="2025-03-15T00:00:00"/>
    <d v="2025-03-18T00:00:00"/>
    <s v="F"/>
    <x v="0"/>
    <x v="1"/>
    <x v="0"/>
    <x v="6"/>
    <x v="2"/>
    <x v="10"/>
    <x v="2"/>
  </r>
  <r>
    <s v="TX501990"/>
    <x v="6"/>
    <x v="9"/>
    <n v="71.900000000000006"/>
    <n v="359.5"/>
    <d v="2025-03-15T00:00:00"/>
    <d v="2025-03-16T00:00:00"/>
    <s v=""/>
    <x v="0"/>
    <x v="1"/>
    <x v="0"/>
    <x v="6"/>
    <x v="3"/>
    <x v="10"/>
    <x v="0"/>
  </r>
  <r>
    <s v="TX501991"/>
    <x v="1"/>
    <x v="1"/>
    <n v="62.4"/>
    <n v="124.8"/>
    <d v="2025-03-15T00:00:00"/>
    <d v="2025-03-17T00:00:00"/>
    <s v=""/>
    <x v="0"/>
    <x v="1"/>
    <x v="0"/>
    <x v="8"/>
    <x v="1"/>
    <x v="10"/>
    <x v="0"/>
  </r>
  <r>
    <s v="TX501992"/>
    <x v="6"/>
    <x v="27"/>
    <n v="53.8"/>
    <n v="860.8"/>
    <d v="2025-03-15T00:00:00"/>
    <d v="2025-03-16T00:00:00"/>
    <s v="F"/>
    <x v="1"/>
    <x v="0"/>
    <x v="0"/>
    <x v="8"/>
    <x v="3"/>
    <x v="10"/>
    <x v="2"/>
  </r>
  <r>
    <s v="TX501993"/>
    <x v="9"/>
    <x v="0"/>
    <n v="43.8"/>
    <n v="43.8"/>
    <d v="2025-03-15T00:00:00"/>
    <d v="2025-03-22T00:00:00"/>
    <s v="F"/>
    <x v="0"/>
    <x v="2"/>
    <x v="0"/>
    <x v="8"/>
    <x v="6"/>
    <x v="10"/>
    <x v="2"/>
  </r>
  <r>
    <s v="TX501994"/>
    <x v="5"/>
    <x v="2"/>
    <n v="53.6"/>
    <n v="160.80000000000001"/>
    <d v="2025-03-15T00:00:00"/>
    <d v="2025-03-16T00:00:00"/>
    <s v="M"/>
    <x v="3"/>
    <x v="0"/>
    <x v="0"/>
    <x v="8"/>
    <x v="3"/>
    <x v="10"/>
    <x v="1"/>
  </r>
  <r>
    <s v="TX501995"/>
    <x v="12"/>
    <x v="1"/>
    <n v="84.3"/>
    <n v="168.6"/>
    <d v="2025-03-15T00:00:00"/>
    <d v="2025-03-18T00:00:00"/>
    <s v="M"/>
    <x v="4"/>
    <x v="1"/>
    <x v="0"/>
    <x v="8"/>
    <x v="2"/>
    <x v="10"/>
    <x v="1"/>
  </r>
  <r>
    <s v="TX501996"/>
    <x v="6"/>
    <x v="11"/>
    <n v="117.9"/>
    <n v="1061.1000000000001"/>
    <d v="2025-03-15T00:00:00"/>
    <d v="2025-03-16T00:00:00"/>
    <s v="F"/>
    <x v="1"/>
    <x v="2"/>
    <x v="0"/>
    <x v="8"/>
    <x v="3"/>
    <x v="10"/>
    <x v="2"/>
  </r>
  <r>
    <s v="TX501997"/>
    <x v="4"/>
    <x v="8"/>
    <n v="30"/>
    <n v="240"/>
    <d v="2025-03-15T00:00:00"/>
    <d v="2025-03-16T00:00:00"/>
    <s v="F"/>
    <x v="1"/>
    <x v="0"/>
    <x v="0"/>
    <x v="26"/>
    <x v="3"/>
    <x v="10"/>
    <x v="2"/>
  </r>
  <r>
    <s v="TX501998"/>
    <x v="14"/>
    <x v="2"/>
    <n v="37.299999999999997"/>
    <n v="111.89999999999999"/>
    <d v="2025-03-15T00:00:00"/>
    <d v="2025-03-16T00:00:00"/>
    <s v="M"/>
    <x v="2"/>
    <x v="0"/>
    <x v="0"/>
    <x v="9"/>
    <x v="3"/>
    <x v="10"/>
    <x v="1"/>
  </r>
  <r>
    <s v="TX501999"/>
    <x v="4"/>
    <x v="11"/>
    <n v="25.1"/>
    <n v="225.9"/>
    <d v="2025-03-15T00:00:00"/>
    <d v="2025-03-17T00:00:00"/>
    <s v="M"/>
    <x v="1"/>
    <x v="2"/>
    <x v="0"/>
    <x v="11"/>
    <x v="1"/>
    <x v="10"/>
    <x v="1"/>
  </r>
  <r>
    <s v="TX502000"/>
    <x v="8"/>
    <x v="5"/>
    <n v="36"/>
    <n v="396"/>
    <d v="2025-03-15T00:00:00"/>
    <d v="2025-03-25T00:00:00"/>
    <s v="M"/>
    <x v="1"/>
    <x v="0"/>
    <x v="0"/>
    <x v="18"/>
    <x v="14"/>
    <x v="10"/>
    <x v="1"/>
  </r>
  <r>
    <s v="TX502001"/>
    <x v="16"/>
    <x v="2"/>
    <n v="48.5"/>
    <n v="145.5"/>
    <d v="2025-03-15T00:00:00"/>
    <d v="2025-03-19T00:00:00"/>
    <s v="F"/>
    <x v="1"/>
    <x v="0"/>
    <x v="0"/>
    <x v="19"/>
    <x v="5"/>
    <x v="10"/>
    <x v="2"/>
  </r>
  <r>
    <s v="TX502002"/>
    <x v="17"/>
    <x v="13"/>
    <n v="21.1"/>
    <n v="126.60000000000001"/>
    <d v="2025-03-15T00:00:00"/>
    <d v="2025-03-16T00:00:00"/>
    <s v="M"/>
    <x v="1"/>
    <x v="2"/>
    <x v="0"/>
    <x v="21"/>
    <x v="3"/>
    <x v="10"/>
    <x v="1"/>
  </r>
  <r>
    <s v="TX502003"/>
    <x v="15"/>
    <x v="21"/>
    <n v="43.2"/>
    <n v="604.80000000000007"/>
    <d v="2025-03-15T00:00:00"/>
    <d v="2025-03-16T00:00:00"/>
    <s v="O"/>
    <x v="0"/>
    <x v="1"/>
    <x v="0"/>
    <x v="21"/>
    <x v="3"/>
    <x v="10"/>
    <x v="3"/>
  </r>
  <r>
    <s v="TX502004"/>
    <x v="9"/>
    <x v="1"/>
    <n v="21.1"/>
    <n v="42.2"/>
    <d v="2025-03-15T00:00:00"/>
    <d v="2025-03-16T00:00:00"/>
    <s v=""/>
    <x v="3"/>
    <x v="1"/>
    <x v="0"/>
    <x v="21"/>
    <x v="3"/>
    <x v="10"/>
    <x v="0"/>
  </r>
  <r>
    <s v="TX502005"/>
    <x v="6"/>
    <x v="12"/>
    <n v="41.3"/>
    <n v="165.2"/>
    <d v="2025-03-15T00:00:00"/>
    <d v="2025-03-17T00:00:00"/>
    <s v="F"/>
    <x v="3"/>
    <x v="2"/>
    <x v="0"/>
    <x v="1"/>
    <x v="1"/>
    <x v="10"/>
    <x v="2"/>
  </r>
  <r>
    <s v="TX502006"/>
    <x v="8"/>
    <x v="1"/>
    <n v="15.3"/>
    <n v="30.6"/>
    <d v="2025-03-15T00:00:00"/>
    <d v="2025-03-18T00:00:00"/>
    <s v=""/>
    <x v="2"/>
    <x v="2"/>
    <x v="0"/>
    <x v="1"/>
    <x v="2"/>
    <x v="10"/>
    <x v="0"/>
  </r>
  <r>
    <s v="TX502007"/>
    <x v="1"/>
    <x v="0"/>
    <n v="54.6"/>
    <n v="54.6"/>
    <d v="2025-03-15T00:00:00"/>
    <d v="2025-03-17T00:00:00"/>
    <s v="M"/>
    <x v="1"/>
    <x v="1"/>
    <x v="0"/>
    <x v="2"/>
    <x v="1"/>
    <x v="10"/>
    <x v="1"/>
  </r>
  <r>
    <s v="TX502008"/>
    <x v="8"/>
    <x v="0"/>
    <n v="15.9"/>
    <n v="15.9"/>
    <d v="2025-03-15T00:00:00"/>
    <d v="2025-03-16T00:00:00"/>
    <s v="M"/>
    <x v="0"/>
    <x v="1"/>
    <x v="0"/>
    <x v="22"/>
    <x v="3"/>
    <x v="10"/>
    <x v="1"/>
  </r>
  <r>
    <s v="TX502009"/>
    <x v="9"/>
    <x v="0"/>
    <n v="50.2"/>
    <n v="50.2"/>
    <d v="2025-03-15T00:00:00"/>
    <d v="2025-03-17T00:00:00"/>
    <s v="F"/>
    <x v="3"/>
    <x v="2"/>
    <x v="0"/>
    <x v="34"/>
    <x v="1"/>
    <x v="10"/>
    <x v="2"/>
  </r>
  <r>
    <s v="TX502010"/>
    <x v="11"/>
    <x v="12"/>
    <n v="85.1"/>
    <n v="340.4"/>
    <d v="2025-03-15T00:00:00"/>
    <d v="2025-03-16T00:00:00"/>
    <s v="F"/>
    <x v="3"/>
    <x v="4"/>
    <x v="0"/>
    <x v="34"/>
    <x v="3"/>
    <x v="10"/>
    <x v="2"/>
  </r>
  <r>
    <s v="TX502011"/>
    <x v="11"/>
    <x v="1"/>
    <n v="41.4"/>
    <n v="82.8"/>
    <d v="2025-03-15T00:00:00"/>
    <d v="2025-03-16T00:00:00"/>
    <s v="F"/>
    <x v="0"/>
    <x v="2"/>
    <x v="0"/>
    <x v="3"/>
    <x v="3"/>
    <x v="10"/>
    <x v="2"/>
  </r>
  <r>
    <s v="TX502012"/>
    <x v="4"/>
    <x v="3"/>
    <n v="32.700000000000003"/>
    <n v="228.90000000000003"/>
    <d v="2025-03-15T00:00:00"/>
    <d v="2025-03-16T00:00:00"/>
    <s v="F"/>
    <x v="2"/>
    <x v="1"/>
    <x v="0"/>
    <x v="3"/>
    <x v="3"/>
    <x v="10"/>
    <x v="2"/>
  </r>
  <r>
    <s v="TX502013"/>
    <x v="4"/>
    <x v="1"/>
    <n v="41.6"/>
    <n v="83.2"/>
    <d v="2025-03-15T00:00:00"/>
    <d v="2025-03-17T00:00:00"/>
    <s v="M"/>
    <x v="4"/>
    <x v="1"/>
    <x v="0"/>
    <x v="3"/>
    <x v="1"/>
    <x v="10"/>
    <x v="1"/>
  </r>
  <r>
    <s v="TX502014"/>
    <x v="5"/>
    <x v="12"/>
    <n v="64.8"/>
    <n v="259.2"/>
    <d v="2025-03-15T00:00:00"/>
    <d v="2025-03-16T00:00:00"/>
    <s v=""/>
    <x v="2"/>
    <x v="0"/>
    <x v="0"/>
    <x v="3"/>
    <x v="3"/>
    <x v="10"/>
    <x v="0"/>
  </r>
  <r>
    <s v="TX502015"/>
    <x v="15"/>
    <x v="1"/>
    <n v="33.6"/>
    <n v="67.2"/>
    <d v="2025-03-15T00:00:00"/>
    <d v="2025-03-16T00:00:00"/>
    <s v="M"/>
    <x v="0"/>
    <x v="2"/>
    <x v="0"/>
    <x v="3"/>
    <x v="3"/>
    <x v="10"/>
    <x v="1"/>
  </r>
  <r>
    <s v="TX502016"/>
    <x v="6"/>
    <x v="2"/>
    <n v="100.7"/>
    <n v="302.10000000000002"/>
    <d v="2025-03-15T00:00:00"/>
    <d v="2025-03-16T00:00:00"/>
    <s v=""/>
    <x v="1"/>
    <x v="0"/>
    <x v="0"/>
    <x v="3"/>
    <x v="3"/>
    <x v="10"/>
    <x v="0"/>
  </r>
  <r>
    <s v="TX502017"/>
    <x v="4"/>
    <x v="1"/>
    <n v="49.3"/>
    <n v="98.6"/>
    <d v="2025-03-16T00:00:00"/>
    <d v="2025-03-18T00:00:00"/>
    <s v="F"/>
    <x v="4"/>
    <x v="2"/>
    <x v="0"/>
    <x v="3"/>
    <x v="1"/>
    <x v="11"/>
    <x v="2"/>
  </r>
  <r>
    <s v="TX502018"/>
    <x v="2"/>
    <x v="13"/>
    <n v="97"/>
    <n v="582"/>
    <d v="2025-03-16T00:00:00"/>
    <d v="2025-03-19T00:00:00"/>
    <s v="M"/>
    <x v="2"/>
    <x v="2"/>
    <x v="0"/>
    <x v="3"/>
    <x v="2"/>
    <x v="11"/>
    <x v="1"/>
  </r>
  <r>
    <s v="TX502019"/>
    <x v="0"/>
    <x v="13"/>
    <n v="25.2"/>
    <n v="151.19999999999999"/>
    <d v="2025-03-16T00:00:00"/>
    <d v="2025-03-19T00:00:00"/>
    <s v="F"/>
    <x v="4"/>
    <x v="2"/>
    <x v="0"/>
    <x v="3"/>
    <x v="2"/>
    <x v="11"/>
    <x v="2"/>
  </r>
  <r>
    <s v="TX502020"/>
    <x v="0"/>
    <x v="5"/>
    <n v="12.2"/>
    <n v="134.19999999999999"/>
    <d v="2025-03-16T00:00:00"/>
    <d v="2025-03-17T00:00:00"/>
    <s v=""/>
    <x v="0"/>
    <x v="1"/>
    <x v="0"/>
    <x v="3"/>
    <x v="3"/>
    <x v="11"/>
    <x v="0"/>
  </r>
  <r>
    <s v="TX502021"/>
    <x v="8"/>
    <x v="3"/>
    <n v="38.799999999999997"/>
    <n v="271.59999999999997"/>
    <d v="2025-03-16T00:00:00"/>
    <d v="2025-03-18T00:00:00"/>
    <s v="F"/>
    <x v="1"/>
    <x v="1"/>
    <x v="0"/>
    <x v="23"/>
    <x v="1"/>
    <x v="11"/>
    <x v="2"/>
  </r>
  <r>
    <s v="TX502022"/>
    <x v="2"/>
    <x v="12"/>
    <n v="53.2"/>
    <n v="212.8"/>
    <d v="2025-03-16T00:00:00"/>
    <d v="2025-03-17T00:00:00"/>
    <s v="M"/>
    <x v="0"/>
    <x v="2"/>
    <x v="0"/>
    <x v="8"/>
    <x v="3"/>
    <x v="11"/>
    <x v="1"/>
  </r>
  <r>
    <s v="TX502023"/>
    <x v="6"/>
    <x v="3"/>
    <n v="151"/>
    <n v="1057"/>
    <d v="2025-03-16T00:00:00"/>
    <d v="2025-03-17T00:00:00"/>
    <s v="O"/>
    <x v="1"/>
    <x v="1"/>
    <x v="0"/>
    <x v="8"/>
    <x v="3"/>
    <x v="11"/>
    <x v="3"/>
  </r>
  <r>
    <s v="TX502024"/>
    <x v="1"/>
    <x v="1"/>
    <n v="37.1"/>
    <n v="74.2"/>
    <d v="2025-03-16T00:00:00"/>
    <d v="2025-03-17T00:00:00"/>
    <s v="F"/>
    <x v="4"/>
    <x v="0"/>
    <x v="0"/>
    <x v="8"/>
    <x v="3"/>
    <x v="11"/>
    <x v="2"/>
  </r>
  <r>
    <s v="TX502025"/>
    <x v="5"/>
    <x v="1"/>
    <n v="38.9"/>
    <n v="77.8"/>
    <d v="2025-03-16T00:00:00"/>
    <d v="2025-03-17T00:00:00"/>
    <s v="M"/>
    <x v="4"/>
    <x v="0"/>
    <x v="0"/>
    <x v="8"/>
    <x v="3"/>
    <x v="11"/>
    <x v="1"/>
  </r>
  <r>
    <s v="TX502026"/>
    <x v="10"/>
    <x v="1"/>
    <n v="35.200000000000003"/>
    <n v="70.400000000000006"/>
    <d v="2025-03-16T00:00:00"/>
    <d v="2025-03-17T00:00:00"/>
    <s v="M"/>
    <x v="0"/>
    <x v="2"/>
    <x v="0"/>
    <x v="17"/>
    <x v="3"/>
    <x v="11"/>
    <x v="1"/>
  </r>
  <r>
    <s v="TX502027"/>
    <x v="0"/>
    <x v="1"/>
    <n v="22.3"/>
    <n v="44.6"/>
    <d v="2025-03-16T00:00:00"/>
    <d v="2025-03-18T00:00:00"/>
    <s v="F"/>
    <x v="1"/>
    <x v="0"/>
    <x v="0"/>
    <x v="9"/>
    <x v="1"/>
    <x v="11"/>
    <x v="2"/>
  </r>
  <r>
    <s v="TX502028"/>
    <x v="9"/>
    <x v="0"/>
    <n v="43.3"/>
    <n v="43.3"/>
    <d v="2025-03-16T00:00:00"/>
    <d v="2025-03-19T00:00:00"/>
    <s v="F"/>
    <x v="0"/>
    <x v="2"/>
    <x v="0"/>
    <x v="11"/>
    <x v="2"/>
    <x v="11"/>
    <x v="2"/>
  </r>
  <r>
    <s v="TX502029"/>
    <x v="6"/>
    <x v="13"/>
    <n v="75.900000000000006"/>
    <n v="455.40000000000003"/>
    <d v="2025-03-16T00:00:00"/>
    <d v="2025-03-22T00:00:00"/>
    <s v="M"/>
    <x v="0"/>
    <x v="0"/>
    <x v="0"/>
    <x v="11"/>
    <x v="4"/>
    <x v="11"/>
    <x v="1"/>
  </r>
  <r>
    <s v="TX502030"/>
    <x v="6"/>
    <x v="2"/>
    <n v="78.7"/>
    <n v="236.10000000000002"/>
    <d v="2025-03-16T00:00:00"/>
    <d v="2025-03-20T00:00:00"/>
    <s v="F"/>
    <x v="2"/>
    <x v="1"/>
    <x v="0"/>
    <x v="11"/>
    <x v="5"/>
    <x v="11"/>
    <x v="2"/>
  </r>
  <r>
    <s v="TX502031"/>
    <x v="1"/>
    <x v="0"/>
    <n v="66.3"/>
    <n v="66.3"/>
    <d v="2025-03-16T00:00:00"/>
    <d v="2025-03-20T00:00:00"/>
    <s v="F"/>
    <x v="0"/>
    <x v="2"/>
    <x v="0"/>
    <x v="19"/>
    <x v="5"/>
    <x v="11"/>
    <x v="2"/>
  </r>
  <r>
    <s v="TX502032"/>
    <x v="8"/>
    <x v="1"/>
    <n v="33.6"/>
    <n v="67.2"/>
    <d v="2025-03-16T00:00:00"/>
    <d v="2025-03-16T00:00:00"/>
    <s v="M"/>
    <x v="0"/>
    <x v="1"/>
    <x v="0"/>
    <x v="19"/>
    <x v="7"/>
    <x v="11"/>
    <x v="1"/>
  </r>
  <r>
    <s v="TX502033"/>
    <x v="2"/>
    <x v="3"/>
    <n v="61.4"/>
    <n v="429.8"/>
    <d v="2025-03-16T00:00:00"/>
    <d v="2025-03-17T00:00:00"/>
    <s v="M"/>
    <x v="4"/>
    <x v="0"/>
    <x v="0"/>
    <x v="19"/>
    <x v="3"/>
    <x v="11"/>
    <x v="1"/>
  </r>
  <r>
    <s v="TX502034"/>
    <x v="8"/>
    <x v="1"/>
    <n v="17.5"/>
    <n v="35"/>
    <d v="2025-03-16T00:00:00"/>
    <d v="2025-03-19T00:00:00"/>
    <s v="F"/>
    <x v="0"/>
    <x v="0"/>
    <x v="0"/>
    <x v="21"/>
    <x v="2"/>
    <x v="11"/>
    <x v="2"/>
  </r>
  <r>
    <s v="TX502035"/>
    <x v="8"/>
    <x v="1"/>
    <n v="32.5"/>
    <n v="65"/>
    <d v="2025-03-16T00:00:00"/>
    <d v="2025-03-19T00:00:00"/>
    <s v="F"/>
    <x v="1"/>
    <x v="0"/>
    <x v="0"/>
    <x v="21"/>
    <x v="2"/>
    <x v="11"/>
    <x v="2"/>
  </r>
  <r>
    <s v="TX502036"/>
    <x v="4"/>
    <x v="0"/>
    <n v="34.6"/>
    <n v="34.6"/>
    <d v="2025-03-16T00:00:00"/>
    <d v="2025-03-17T00:00:00"/>
    <s v="F"/>
    <x v="4"/>
    <x v="0"/>
    <x v="0"/>
    <x v="21"/>
    <x v="3"/>
    <x v="11"/>
    <x v="2"/>
  </r>
  <r>
    <s v="TX502037"/>
    <x v="2"/>
    <x v="0"/>
    <n v="75.900000000000006"/>
    <n v="75.900000000000006"/>
    <d v="2025-03-16T00:00:00"/>
    <d v="2025-03-16T00:00:00"/>
    <s v="M"/>
    <x v="1"/>
    <x v="2"/>
    <x v="0"/>
    <x v="21"/>
    <x v="7"/>
    <x v="11"/>
    <x v="1"/>
  </r>
  <r>
    <s v="TX502038"/>
    <x v="1"/>
    <x v="2"/>
    <n v="42.1"/>
    <n v="126.30000000000001"/>
    <d v="2025-03-16T00:00:00"/>
    <d v="2025-03-19T00:00:00"/>
    <s v="M"/>
    <x v="1"/>
    <x v="1"/>
    <x v="0"/>
    <x v="21"/>
    <x v="2"/>
    <x v="11"/>
    <x v="1"/>
  </r>
  <r>
    <s v="TX502039"/>
    <x v="7"/>
    <x v="2"/>
    <n v="65.3"/>
    <n v="195.89999999999998"/>
    <d v="2025-03-16T00:00:00"/>
    <d v="2025-03-23T00:00:00"/>
    <s v="M"/>
    <x v="0"/>
    <x v="0"/>
    <x v="0"/>
    <x v="1"/>
    <x v="6"/>
    <x v="11"/>
    <x v="1"/>
  </r>
  <r>
    <s v="TX502040"/>
    <x v="15"/>
    <x v="0"/>
    <n v="20.6"/>
    <n v="20.6"/>
    <d v="2025-03-16T00:00:00"/>
    <d v="2025-03-19T00:00:00"/>
    <s v="M"/>
    <x v="3"/>
    <x v="0"/>
    <x v="0"/>
    <x v="42"/>
    <x v="2"/>
    <x v="11"/>
    <x v="1"/>
  </r>
  <r>
    <s v="TX502041"/>
    <x v="8"/>
    <x v="3"/>
    <n v="16.5"/>
    <n v="115.5"/>
    <d v="2025-03-16T00:00:00"/>
    <d v="2025-03-17T00:00:00"/>
    <s v="M"/>
    <x v="1"/>
    <x v="1"/>
    <x v="0"/>
    <x v="2"/>
    <x v="3"/>
    <x v="11"/>
    <x v="1"/>
  </r>
  <r>
    <s v="TX502042"/>
    <x v="16"/>
    <x v="7"/>
    <n v="36.200000000000003"/>
    <n v="362"/>
    <d v="2025-03-16T00:00:00"/>
    <d v="2025-03-18T00:00:00"/>
    <s v="M"/>
    <x v="0"/>
    <x v="2"/>
    <x v="0"/>
    <x v="2"/>
    <x v="1"/>
    <x v="11"/>
    <x v="1"/>
  </r>
  <r>
    <s v="TX502043"/>
    <x v="6"/>
    <x v="0"/>
    <n v="53.2"/>
    <n v="53.2"/>
    <d v="2025-03-16T00:00:00"/>
    <d v="2025-03-17T00:00:00"/>
    <s v="F"/>
    <x v="0"/>
    <x v="1"/>
    <x v="0"/>
    <x v="22"/>
    <x v="3"/>
    <x v="11"/>
    <x v="2"/>
  </r>
  <r>
    <s v="TX502044"/>
    <x v="2"/>
    <x v="21"/>
    <n v="176"/>
    <n v="2464"/>
    <d v="2025-03-16T00:00:00"/>
    <d v="2025-03-17T00:00:00"/>
    <s v="F"/>
    <x v="0"/>
    <x v="1"/>
    <x v="0"/>
    <x v="3"/>
    <x v="3"/>
    <x v="11"/>
    <x v="2"/>
  </r>
  <r>
    <s v="TX502045"/>
    <x v="1"/>
    <x v="0"/>
    <n v="52.4"/>
    <n v="52.4"/>
    <d v="2025-03-16T00:00:00"/>
    <d v="2025-03-17T00:00:00"/>
    <s v="M"/>
    <x v="1"/>
    <x v="0"/>
    <x v="0"/>
    <x v="3"/>
    <x v="3"/>
    <x v="11"/>
    <x v="1"/>
  </r>
  <r>
    <s v="TX502046"/>
    <x v="10"/>
    <x v="2"/>
    <n v="48.2"/>
    <n v="144.60000000000002"/>
    <d v="2025-03-16T00:00:00"/>
    <d v="2025-03-17T00:00:00"/>
    <s v="F"/>
    <x v="1"/>
    <x v="2"/>
    <x v="0"/>
    <x v="3"/>
    <x v="3"/>
    <x v="11"/>
    <x v="2"/>
  </r>
  <r>
    <s v="TX502047"/>
    <x v="15"/>
    <x v="0"/>
    <n v="51.6"/>
    <n v="51.6"/>
    <d v="2025-03-16T00:00:00"/>
    <d v="2025-03-20T00:00:00"/>
    <s v="F"/>
    <x v="2"/>
    <x v="1"/>
    <x v="0"/>
    <x v="3"/>
    <x v="5"/>
    <x v="11"/>
    <x v="2"/>
  </r>
  <r>
    <s v="TX502048"/>
    <x v="0"/>
    <x v="12"/>
    <n v="33.700000000000003"/>
    <n v="134.80000000000001"/>
    <d v="2025-03-17T00:00:00"/>
    <d v="2025-03-18T00:00:00"/>
    <s v="M"/>
    <x v="0"/>
    <x v="0"/>
    <x v="0"/>
    <x v="3"/>
    <x v="3"/>
    <x v="11"/>
    <x v="1"/>
  </r>
  <r>
    <s v="TX502049"/>
    <x v="4"/>
    <x v="7"/>
    <n v="36.299999999999997"/>
    <n v="363"/>
    <d v="2025-03-17T00:00:00"/>
    <d v="2025-03-19T00:00:00"/>
    <s v="F"/>
    <x v="4"/>
    <x v="1"/>
    <x v="0"/>
    <x v="3"/>
    <x v="1"/>
    <x v="11"/>
    <x v="2"/>
  </r>
  <r>
    <s v="TX502050"/>
    <x v="8"/>
    <x v="0"/>
    <n v="23.4"/>
    <n v="23.4"/>
    <d v="2025-03-17T00:00:00"/>
    <d v="2025-03-22T00:00:00"/>
    <s v="F"/>
    <x v="1"/>
    <x v="2"/>
    <x v="0"/>
    <x v="3"/>
    <x v="0"/>
    <x v="11"/>
    <x v="2"/>
  </r>
  <r>
    <s v="TX502051"/>
    <x v="15"/>
    <x v="8"/>
    <n v="56.6"/>
    <n v="452.8"/>
    <d v="2025-03-17T00:00:00"/>
    <d v="2025-03-19T00:00:00"/>
    <s v="F"/>
    <x v="1"/>
    <x v="0"/>
    <x v="0"/>
    <x v="3"/>
    <x v="1"/>
    <x v="11"/>
    <x v="2"/>
  </r>
  <r>
    <s v="TX502052"/>
    <x v="15"/>
    <x v="1"/>
    <n v="26.8"/>
    <n v="53.6"/>
    <d v="2025-03-17T00:00:00"/>
    <d v="2025-03-18T00:00:00"/>
    <s v="M"/>
    <x v="0"/>
    <x v="0"/>
    <x v="0"/>
    <x v="4"/>
    <x v="3"/>
    <x v="11"/>
    <x v="1"/>
  </r>
  <r>
    <s v="TX502053"/>
    <x v="0"/>
    <x v="2"/>
    <n v="11.3"/>
    <n v="33.900000000000006"/>
    <d v="2025-03-17T00:00:00"/>
    <d v="2025-03-19T00:00:00"/>
    <s v="M"/>
    <x v="2"/>
    <x v="0"/>
    <x v="0"/>
    <x v="25"/>
    <x v="1"/>
    <x v="11"/>
    <x v="1"/>
  </r>
  <r>
    <s v="TX502054"/>
    <x v="6"/>
    <x v="2"/>
    <n v="60.1"/>
    <n v="180.3"/>
    <d v="2025-03-17T00:00:00"/>
    <d v="2025-03-20T00:00:00"/>
    <s v="F"/>
    <x v="0"/>
    <x v="0"/>
    <x v="0"/>
    <x v="7"/>
    <x v="2"/>
    <x v="11"/>
    <x v="2"/>
  </r>
  <r>
    <s v="TX502055"/>
    <x v="0"/>
    <x v="5"/>
    <n v="27.7"/>
    <n v="304.7"/>
    <d v="2025-03-17T00:00:00"/>
    <d v="2025-03-22T00:00:00"/>
    <s v="F"/>
    <x v="0"/>
    <x v="0"/>
    <x v="0"/>
    <x v="8"/>
    <x v="0"/>
    <x v="11"/>
    <x v="2"/>
  </r>
  <r>
    <s v="TX502056"/>
    <x v="15"/>
    <x v="0"/>
    <n v="71.400000000000006"/>
    <n v="71.400000000000006"/>
    <d v="2025-03-17T00:00:00"/>
    <d v="2025-03-20T00:00:00"/>
    <s v="M"/>
    <x v="0"/>
    <x v="2"/>
    <x v="0"/>
    <x v="8"/>
    <x v="2"/>
    <x v="11"/>
    <x v="1"/>
  </r>
  <r>
    <s v="TX502057"/>
    <x v="2"/>
    <x v="1"/>
    <n v="66.7"/>
    <n v="133.4"/>
    <d v="2025-03-17T00:00:00"/>
    <d v="2025-03-18T00:00:00"/>
    <s v="F"/>
    <x v="0"/>
    <x v="2"/>
    <x v="0"/>
    <x v="8"/>
    <x v="3"/>
    <x v="11"/>
    <x v="2"/>
  </r>
  <r>
    <s v="TX502058"/>
    <x v="13"/>
    <x v="9"/>
    <n v="39.1"/>
    <n v="195.5"/>
    <d v="2025-03-17T00:00:00"/>
    <d v="2025-03-18T00:00:00"/>
    <s v="F"/>
    <x v="0"/>
    <x v="0"/>
    <x v="0"/>
    <x v="8"/>
    <x v="3"/>
    <x v="11"/>
    <x v="2"/>
  </r>
  <r>
    <s v="TX502059"/>
    <x v="8"/>
    <x v="12"/>
    <n v="24.9"/>
    <n v="99.6"/>
    <d v="2025-03-17T00:00:00"/>
    <d v="2025-03-22T00:00:00"/>
    <s v="M"/>
    <x v="1"/>
    <x v="2"/>
    <x v="0"/>
    <x v="8"/>
    <x v="0"/>
    <x v="11"/>
    <x v="1"/>
  </r>
  <r>
    <s v="TX502060"/>
    <x v="5"/>
    <x v="9"/>
    <n v="29.2"/>
    <n v="146"/>
    <d v="2025-03-17T00:00:00"/>
    <d v="2025-03-18T00:00:00"/>
    <s v="M"/>
    <x v="0"/>
    <x v="2"/>
    <x v="0"/>
    <x v="17"/>
    <x v="3"/>
    <x v="11"/>
    <x v="1"/>
  </r>
  <r>
    <s v="TX502061"/>
    <x v="13"/>
    <x v="21"/>
    <n v="28.3"/>
    <n v="396.2"/>
    <d v="2025-03-17T00:00:00"/>
    <d v="2025-03-19T00:00:00"/>
    <s v="F"/>
    <x v="1"/>
    <x v="0"/>
    <x v="0"/>
    <x v="11"/>
    <x v="1"/>
    <x v="11"/>
    <x v="2"/>
  </r>
  <r>
    <s v="TX502062"/>
    <x v="9"/>
    <x v="2"/>
    <n v="37.799999999999997"/>
    <n v="113.39999999999999"/>
    <d v="2025-03-17T00:00:00"/>
    <d v="2025-03-18T00:00:00"/>
    <s v="F"/>
    <x v="0"/>
    <x v="1"/>
    <x v="0"/>
    <x v="11"/>
    <x v="3"/>
    <x v="11"/>
    <x v="2"/>
  </r>
  <r>
    <s v="TX502063"/>
    <x v="14"/>
    <x v="3"/>
    <n v="28.1"/>
    <n v="196.70000000000002"/>
    <d v="2025-03-17T00:00:00"/>
    <d v="2025-03-23T00:00:00"/>
    <s v="F"/>
    <x v="2"/>
    <x v="0"/>
    <x v="0"/>
    <x v="11"/>
    <x v="4"/>
    <x v="11"/>
    <x v="2"/>
  </r>
  <r>
    <s v="TX502064"/>
    <x v="1"/>
    <x v="2"/>
    <n v="59.7"/>
    <n v="179.10000000000002"/>
    <d v="2025-03-17T00:00:00"/>
    <d v="2025-03-19T00:00:00"/>
    <s v="F"/>
    <x v="2"/>
    <x v="0"/>
    <x v="0"/>
    <x v="11"/>
    <x v="1"/>
    <x v="11"/>
    <x v="2"/>
  </r>
  <r>
    <s v="TX502065"/>
    <x v="16"/>
    <x v="0"/>
    <n v="71.900000000000006"/>
    <n v="71.900000000000006"/>
    <d v="2025-03-17T00:00:00"/>
    <d v="2025-03-18T00:00:00"/>
    <s v="M"/>
    <x v="1"/>
    <x v="1"/>
    <x v="0"/>
    <x v="11"/>
    <x v="3"/>
    <x v="11"/>
    <x v="1"/>
  </r>
  <r>
    <s v="TX502066"/>
    <x v="1"/>
    <x v="1"/>
    <n v="56.9"/>
    <n v="113.8"/>
    <d v="2025-03-17T00:00:00"/>
    <d v="2025-03-18T00:00:00"/>
    <s v="M"/>
    <x v="2"/>
    <x v="0"/>
    <x v="0"/>
    <x v="13"/>
    <x v="3"/>
    <x v="11"/>
    <x v="1"/>
  </r>
  <r>
    <s v="TX502067"/>
    <x v="8"/>
    <x v="1"/>
    <n v="15.8"/>
    <n v="31.6"/>
    <d v="2025-03-17T00:00:00"/>
    <d v="2025-03-20T00:00:00"/>
    <s v="F"/>
    <x v="2"/>
    <x v="1"/>
    <x v="0"/>
    <x v="1"/>
    <x v="2"/>
    <x v="11"/>
    <x v="2"/>
  </r>
  <r>
    <s v="TX502068"/>
    <x v="11"/>
    <x v="12"/>
    <n v="61.7"/>
    <n v="246.8"/>
    <d v="2025-03-17T00:00:00"/>
    <d v="2025-03-19T00:00:00"/>
    <s v="F"/>
    <x v="2"/>
    <x v="0"/>
    <x v="0"/>
    <x v="22"/>
    <x v="1"/>
    <x v="11"/>
    <x v="2"/>
  </r>
  <r>
    <s v="TX502069"/>
    <x v="2"/>
    <x v="7"/>
    <n v="105.2"/>
    <n v="1052"/>
    <d v="2025-03-17T00:00:00"/>
    <d v="2025-03-19T00:00:00"/>
    <s v="M"/>
    <x v="1"/>
    <x v="4"/>
    <x v="0"/>
    <x v="3"/>
    <x v="1"/>
    <x v="11"/>
    <x v="1"/>
  </r>
  <r>
    <s v="TX502070"/>
    <x v="0"/>
    <x v="1"/>
    <n v="17"/>
    <n v="34"/>
    <d v="2025-03-17T00:00:00"/>
    <d v="2025-03-19T00:00:00"/>
    <s v="F"/>
    <x v="2"/>
    <x v="0"/>
    <x v="0"/>
    <x v="3"/>
    <x v="1"/>
    <x v="11"/>
    <x v="2"/>
  </r>
  <r>
    <s v="TX502071"/>
    <x v="6"/>
    <x v="2"/>
    <n v="84.1"/>
    <n v="252.29999999999998"/>
    <d v="2025-03-17T00:00:00"/>
    <d v="2025-03-18T00:00:00"/>
    <s v="M"/>
    <x v="2"/>
    <x v="0"/>
    <x v="0"/>
    <x v="3"/>
    <x v="3"/>
    <x v="11"/>
    <x v="1"/>
  </r>
  <r>
    <s v="TX502072"/>
    <x v="3"/>
    <x v="12"/>
    <n v="59.5"/>
    <n v="238"/>
    <d v="2025-03-17T00:00:00"/>
    <d v="2025-03-22T00:00:00"/>
    <s v="M"/>
    <x v="0"/>
    <x v="2"/>
    <x v="0"/>
    <x v="3"/>
    <x v="0"/>
    <x v="11"/>
    <x v="1"/>
  </r>
  <r>
    <s v="TX502073"/>
    <x v="8"/>
    <x v="1"/>
    <n v="57.5"/>
    <n v="115"/>
    <d v="2025-03-17T00:00:00"/>
    <d v="2025-03-19T00:00:00"/>
    <s v="M"/>
    <x v="1"/>
    <x v="2"/>
    <x v="0"/>
    <x v="3"/>
    <x v="1"/>
    <x v="11"/>
    <x v="1"/>
  </r>
  <r>
    <s v="TX502074"/>
    <x v="8"/>
    <x v="0"/>
    <n v="34.299999999999997"/>
    <n v="34.299999999999997"/>
    <d v="2025-03-17T00:00:00"/>
    <d v="2025-03-18T00:00:00"/>
    <s v="F"/>
    <x v="4"/>
    <x v="2"/>
    <x v="0"/>
    <x v="3"/>
    <x v="3"/>
    <x v="11"/>
    <x v="2"/>
  </r>
  <r>
    <s v="TX502075"/>
    <x v="5"/>
    <x v="1"/>
    <n v="27.8"/>
    <n v="55.6"/>
    <d v="2025-03-18T00:00:00"/>
    <d v="2025-03-20T00:00:00"/>
    <s v="F"/>
    <x v="0"/>
    <x v="0"/>
    <x v="0"/>
    <x v="3"/>
    <x v="1"/>
    <x v="11"/>
    <x v="2"/>
  </r>
  <r>
    <s v="TX502076"/>
    <x v="12"/>
    <x v="1"/>
    <n v="85"/>
    <n v="170"/>
    <d v="2025-03-18T00:00:00"/>
    <d v="2025-03-18T00:00:00"/>
    <s v="M"/>
    <x v="2"/>
    <x v="2"/>
    <x v="0"/>
    <x v="3"/>
    <x v="7"/>
    <x v="11"/>
    <x v="1"/>
  </r>
  <r>
    <s v="TX502077"/>
    <x v="6"/>
    <x v="1"/>
    <n v="95"/>
    <n v="190"/>
    <d v="2025-03-18T00:00:00"/>
    <d v="2025-03-20T00:00:00"/>
    <s v="F"/>
    <x v="0"/>
    <x v="0"/>
    <x v="0"/>
    <x v="3"/>
    <x v="1"/>
    <x v="11"/>
    <x v="2"/>
  </r>
  <r>
    <s v="TX502078"/>
    <x v="16"/>
    <x v="1"/>
    <n v="32"/>
    <n v="64"/>
    <d v="2025-03-18T00:00:00"/>
    <d v="2025-03-20T00:00:00"/>
    <s v="M"/>
    <x v="0"/>
    <x v="1"/>
    <x v="0"/>
    <x v="3"/>
    <x v="1"/>
    <x v="11"/>
    <x v="1"/>
  </r>
  <r>
    <s v="TX502079"/>
    <x v="2"/>
    <x v="1"/>
    <n v="65.2"/>
    <n v="130.4"/>
    <d v="2025-03-18T00:00:00"/>
    <d v="2025-03-19T00:00:00"/>
    <s v="F"/>
    <x v="1"/>
    <x v="0"/>
    <x v="0"/>
    <x v="3"/>
    <x v="3"/>
    <x v="11"/>
    <x v="2"/>
  </r>
  <r>
    <s v="TX502080"/>
    <x v="17"/>
    <x v="12"/>
    <n v="22"/>
    <n v="88"/>
    <d v="2025-03-18T00:00:00"/>
    <d v="2025-03-19T00:00:00"/>
    <s v="M"/>
    <x v="1"/>
    <x v="2"/>
    <x v="0"/>
    <x v="3"/>
    <x v="3"/>
    <x v="11"/>
    <x v="1"/>
  </r>
  <r>
    <s v="TX502081"/>
    <x v="15"/>
    <x v="2"/>
    <n v="69.400000000000006"/>
    <n v="208.20000000000002"/>
    <d v="2025-03-18T00:00:00"/>
    <d v="2025-03-21T00:00:00"/>
    <s v="M"/>
    <x v="1"/>
    <x v="2"/>
    <x v="0"/>
    <x v="3"/>
    <x v="2"/>
    <x v="11"/>
    <x v="1"/>
  </r>
  <r>
    <s v="TX502082"/>
    <x v="10"/>
    <x v="13"/>
    <n v="31.5"/>
    <n v="189"/>
    <d v="2025-03-18T00:00:00"/>
    <d v="2025-03-20T00:00:00"/>
    <s v="F"/>
    <x v="0"/>
    <x v="2"/>
    <x v="0"/>
    <x v="3"/>
    <x v="1"/>
    <x v="11"/>
    <x v="2"/>
  </r>
  <r>
    <s v="TX502083"/>
    <x v="6"/>
    <x v="0"/>
    <n v="45.8"/>
    <n v="45.8"/>
    <d v="2025-03-18T00:00:00"/>
    <d v="2025-03-22T00:00:00"/>
    <s v="O"/>
    <x v="0"/>
    <x v="0"/>
    <x v="0"/>
    <x v="3"/>
    <x v="5"/>
    <x v="11"/>
    <x v="3"/>
  </r>
  <r>
    <s v="TX502084"/>
    <x v="19"/>
    <x v="12"/>
    <n v="12.8"/>
    <n v="51.2"/>
    <d v="2025-03-18T00:00:00"/>
    <d v="2025-03-25T00:00:00"/>
    <s v="F"/>
    <x v="1"/>
    <x v="1"/>
    <x v="0"/>
    <x v="5"/>
    <x v="6"/>
    <x v="11"/>
    <x v="2"/>
  </r>
  <r>
    <s v="TX502085"/>
    <x v="5"/>
    <x v="2"/>
    <n v="115.3"/>
    <n v="345.9"/>
    <d v="2025-03-18T00:00:00"/>
    <d v="2025-03-19T00:00:00"/>
    <s v="F"/>
    <x v="2"/>
    <x v="2"/>
    <x v="0"/>
    <x v="6"/>
    <x v="3"/>
    <x v="11"/>
    <x v="2"/>
  </r>
  <r>
    <s v="TX502086"/>
    <x v="5"/>
    <x v="1"/>
    <n v="85"/>
    <n v="170"/>
    <d v="2025-03-18T00:00:00"/>
    <d v="2025-03-20T00:00:00"/>
    <s v="F"/>
    <x v="1"/>
    <x v="0"/>
    <x v="0"/>
    <x v="7"/>
    <x v="1"/>
    <x v="11"/>
    <x v="2"/>
  </r>
  <r>
    <s v="TX502087"/>
    <x v="8"/>
    <x v="2"/>
    <n v="56.6"/>
    <n v="169.8"/>
    <d v="2025-03-18T00:00:00"/>
    <d v="2025-03-19T00:00:00"/>
    <s v="F"/>
    <x v="1"/>
    <x v="2"/>
    <x v="0"/>
    <x v="7"/>
    <x v="3"/>
    <x v="11"/>
    <x v="2"/>
  </r>
  <r>
    <s v="TX502088"/>
    <x v="15"/>
    <x v="6"/>
    <n v="46.3"/>
    <n v="1250.0999999999999"/>
    <d v="2025-03-18T00:00:00"/>
    <d v="2025-03-21T00:00:00"/>
    <s v="M"/>
    <x v="0"/>
    <x v="0"/>
    <x v="0"/>
    <x v="7"/>
    <x v="2"/>
    <x v="11"/>
    <x v="1"/>
  </r>
  <r>
    <s v="TX502089"/>
    <x v="14"/>
    <x v="12"/>
    <n v="23"/>
    <n v="92"/>
    <d v="2025-03-18T00:00:00"/>
    <d v="2025-03-22T00:00:00"/>
    <s v="M"/>
    <x v="3"/>
    <x v="2"/>
    <x v="0"/>
    <x v="7"/>
    <x v="5"/>
    <x v="11"/>
    <x v="1"/>
  </r>
  <r>
    <s v="TX502090"/>
    <x v="8"/>
    <x v="13"/>
    <n v="42.1"/>
    <n v="252.60000000000002"/>
    <d v="2025-03-18T00:00:00"/>
    <d v="2025-03-20T00:00:00"/>
    <s v="M"/>
    <x v="4"/>
    <x v="0"/>
    <x v="0"/>
    <x v="8"/>
    <x v="1"/>
    <x v="11"/>
    <x v="1"/>
  </r>
  <r>
    <s v="TX502091"/>
    <x v="5"/>
    <x v="3"/>
    <n v="57.4"/>
    <n v="401.8"/>
    <d v="2025-03-18T00:00:00"/>
    <d v="2025-03-22T00:00:00"/>
    <s v="F"/>
    <x v="1"/>
    <x v="4"/>
    <x v="0"/>
    <x v="8"/>
    <x v="5"/>
    <x v="11"/>
    <x v="2"/>
  </r>
  <r>
    <s v="TX502092"/>
    <x v="0"/>
    <x v="13"/>
    <n v="13.2"/>
    <n v="79.199999999999989"/>
    <d v="2025-03-18T00:00:00"/>
    <d v="2025-03-22T00:00:00"/>
    <s v="M"/>
    <x v="2"/>
    <x v="0"/>
    <x v="0"/>
    <x v="8"/>
    <x v="5"/>
    <x v="11"/>
    <x v="1"/>
  </r>
  <r>
    <s v="TX502093"/>
    <x v="6"/>
    <x v="2"/>
    <n v="52.3"/>
    <n v="156.89999999999998"/>
    <d v="2025-03-18T00:00:00"/>
    <d v="2025-03-19T00:00:00"/>
    <s v="M"/>
    <x v="1"/>
    <x v="0"/>
    <x v="0"/>
    <x v="8"/>
    <x v="3"/>
    <x v="11"/>
    <x v="1"/>
  </r>
  <r>
    <s v="TX502094"/>
    <x v="8"/>
    <x v="1"/>
    <n v="15.7"/>
    <n v="31.4"/>
    <d v="2025-03-18T00:00:00"/>
    <d v="2025-03-21T00:00:00"/>
    <s v="M"/>
    <x v="1"/>
    <x v="2"/>
    <x v="0"/>
    <x v="8"/>
    <x v="2"/>
    <x v="11"/>
    <x v="1"/>
  </r>
  <r>
    <s v="TX502095"/>
    <x v="7"/>
    <x v="2"/>
    <n v="35"/>
    <n v="105"/>
    <d v="2025-03-18T00:00:00"/>
    <d v="2025-03-21T00:00:00"/>
    <s v="F"/>
    <x v="1"/>
    <x v="2"/>
    <x v="0"/>
    <x v="9"/>
    <x v="2"/>
    <x v="11"/>
    <x v="2"/>
  </r>
  <r>
    <s v="TX502096"/>
    <x v="4"/>
    <x v="2"/>
    <n v="26.6"/>
    <n v="79.800000000000011"/>
    <d v="2025-03-18T00:00:00"/>
    <d v="2025-03-18T00:00:00"/>
    <s v="M"/>
    <x v="1"/>
    <x v="2"/>
    <x v="0"/>
    <x v="11"/>
    <x v="7"/>
    <x v="11"/>
    <x v="1"/>
  </r>
  <r>
    <s v="TX502097"/>
    <x v="4"/>
    <x v="8"/>
    <n v="47.9"/>
    <n v="383.2"/>
    <d v="2025-03-19T00:00:00"/>
    <d v="2025-03-20T00:00:00"/>
    <s v="F"/>
    <x v="3"/>
    <x v="2"/>
    <x v="0"/>
    <x v="20"/>
    <x v="3"/>
    <x v="11"/>
    <x v="2"/>
  </r>
  <r>
    <s v="TX502098"/>
    <x v="5"/>
    <x v="0"/>
    <n v="80.099999999999994"/>
    <n v="80.099999999999994"/>
    <d v="2025-03-19T00:00:00"/>
    <d v="2025-03-20T00:00:00"/>
    <s v="M"/>
    <x v="2"/>
    <x v="0"/>
    <x v="0"/>
    <x v="21"/>
    <x v="3"/>
    <x v="11"/>
    <x v="1"/>
  </r>
  <r>
    <s v="TX502099"/>
    <x v="6"/>
    <x v="9"/>
    <n v="50.4"/>
    <n v="252"/>
    <d v="2025-03-19T00:00:00"/>
    <d v="2025-03-20T00:00:00"/>
    <s v="M"/>
    <x v="1"/>
    <x v="2"/>
    <x v="0"/>
    <x v="21"/>
    <x v="3"/>
    <x v="11"/>
    <x v="1"/>
  </r>
  <r>
    <s v="TX502100"/>
    <x v="10"/>
    <x v="3"/>
    <n v="43.3"/>
    <n v="303.09999999999997"/>
    <d v="2025-03-19T00:00:00"/>
    <d v="2025-03-20T00:00:00"/>
    <s v="M"/>
    <x v="2"/>
    <x v="0"/>
    <x v="0"/>
    <x v="21"/>
    <x v="3"/>
    <x v="11"/>
    <x v="1"/>
  </r>
  <r>
    <s v="TX502101"/>
    <x v="10"/>
    <x v="12"/>
    <n v="57.5"/>
    <n v="230"/>
    <d v="2025-03-19T00:00:00"/>
    <d v="2025-03-20T00:00:00"/>
    <s v="F"/>
    <x v="1"/>
    <x v="2"/>
    <x v="0"/>
    <x v="1"/>
    <x v="3"/>
    <x v="11"/>
    <x v="2"/>
  </r>
  <r>
    <s v="TX502102"/>
    <x v="9"/>
    <x v="15"/>
    <n v="24.8"/>
    <n v="322.40000000000003"/>
    <d v="2025-03-19T00:00:00"/>
    <d v="2025-03-20T00:00:00"/>
    <s v="M"/>
    <x v="0"/>
    <x v="0"/>
    <x v="0"/>
    <x v="57"/>
    <x v="3"/>
    <x v="11"/>
    <x v="1"/>
  </r>
  <r>
    <s v="TX502103"/>
    <x v="2"/>
    <x v="11"/>
    <n v="85.7"/>
    <n v="771.30000000000007"/>
    <d v="2025-03-19T00:00:00"/>
    <d v="2025-03-20T00:00:00"/>
    <s v="F"/>
    <x v="0"/>
    <x v="0"/>
    <x v="0"/>
    <x v="42"/>
    <x v="3"/>
    <x v="11"/>
    <x v="2"/>
  </r>
  <r>
    <s v="TX502104"/>
    <x v="7"/>
    <x v="0"/>
    <n v="47.1"/>
    <n v="47.1"/>
    <d v="2025-03-19T00:00:00"/>
    <d v="2025-03-21T00:00:00"/>
    <s v="F"/>
    <x v="0"/>
    <x v="0"/>
    <x v="0"/>
    <x v="2"/>
    <x v="1"/>
    <x v="11"/>
    <x v="2"/>
  </r>
  <r>
    <s v="TX502105"/>
    <x v="5"/>
    <x v="7"/>
    <n v="83.2"/>
    <n v="832"/>
    <d v="2025-03-19T00:00:00"/>
    <d v="2025-03-23T00:00:00"/>
    <s v="F"/>
    <x v="0"/>
    <x v="0"/>
    <x v="0"/>
    <x v="33"/>
    <x v="5"/>
    <x v="11"/>
    <x v="2"/>
  </r>
  <r>
    <s v="TX502106"/>
    <x v="2"/>
    <x v="2"/>
    <n v="157"/>
    <n v="471"/>
    <d v="2025-03-19T00:00:00"/>
    <d v="2025-03-21T00:00:00"/>
    <s v="F"/>
    <x v="0"/>
    <x v="2"/>
    <x v="0"/>
    <x v="22"/>
    <x v="1"/>
    <x v="11"/>
    <x v="2"/>
  </r>
  <r>
    <s v="TX502107"/>
    <x v="16"/>
    <x v="12"/>
    <n v="33.700000000000003"/>
    <n v="134.80000000000001"/>
    <d v="2025-03-19T00:00:00"/>
    <d v="2025-03-20T00:00:00"/>
    <s v="M"/>
    <x v="2"/>
    <x v="2"/>
    <x v="0"/>
    <x v="22"/>
    <x v="3"/>
    <x v="11"/>
    <x v="1"/>
  </r>
  <r>
    <s v="TX502108"/>
    <x v="2"/>
    <x v="2"/>
    <n v="60.8"/>
    <n v="182.39999999999998"/>
    <d v="2025-03-19T00:00:00"/>
    <d v="2025-03-23T00:00:00"/>
    <s v="F"/>
    <x v="1"/>
    <x v="1"/>
    <x v="0"/>
    <x v="3"/>
    <x v="5"/>
    <x v="11"/>
    <x v="2"/>
  </r>
  <r>
    <s v="TX502109"/>
    <x v="7"/>
    <x v="0"/>
    <n v="57.6"/>
    <n v="57.6"/>
    <d v="2025-03-19T00:00:00"/>
    <d v="2025-03-20T00:00:00"/>
    <s v="M"/>
    <x v="1"/>
    <x v="4"/>
    <x v="0"/>
    <x v="3"/>
    <x v="3"/>
    <x v="11"/>
    <x v="1"/>
  </r>
  <r>
    <s v="TX502110"/>
    <x v="10"/>
    <x v="0"/>
    <n v="32"/>
    <n v="32"/>
    <d v="2025-03-19T00:00:00"/>
    <d v="2025-03-21T00:00:00"/>
    <s v="M"/>
    <x v="0"/>
    <x v="0"/>
    <x v="0"/>
    <x v="3"/>
    <x v="1"/>
    <x v="11"/>
    <x v="1"/>
  </r>
  <r>
    <s v="TX502111"/>
    <x v="10"/>
    <x v="12"/>
    <n v="23.5"/>
    <n v="94"/>
    <d v="2025-03-19T00:00:00"/>
    <d v="2025-03-20T00:00:00"/>
    <s v="F"/>
    <x v="0"/>
    <x v="2"/>
    <x v="0"/>
    <x v="3"/>
    <x v="3"/>
    <x v="11"/>
    <x v="2"/>
  </r>
  <r>
    <s v="TX502112"/>
    <x v="12"/>
    <x v="2"/>
    <n v="44.8"/>
    <n v="134.39999999999998"/>
    <d v="2025-03-19T00:00:00"/>
    <d v="2025-03-20T00:00:00"/>
    <s v="O"/>
    <x v="4"/>
    <x v="0"/>
    <x v="0"/>
    <x v="3"/>
    <x v="3"/>
    <x v="11"/>
    <x v="3"/>
  </r>
  <r>
    <s v="TX502113"/>
    <x v="0"/>
    <x v="8"/>
    <n v="11.7"/>
    <n v="93.6"/>
    <d v="2025-03-19T00:00:00"/>
    <d v="2025-03-20T00:00:00"/>
    <s v="M"/>
    <x v="2"/>
    <x v="2"/>
    <x v="0"/>
    <x v="3"/>
    <x v="3"/>
    <x v="11"/>
    <x v="1"/>
  </r>
  <r>
    <s v="TX502114"/>
    <x v="7"/>
    <x v="1"/>
    <n v="38.799999999999997"/>
    <n v="77.599999999999994"/>
    <d v="2025-03-19T00:00:00"/>
    <d v="2025-03-22T00:00:00"/>
    <s v="F"/>
    <x v="2"/>
    <x v="0"/>
    <x v="0"/>
    <x v="3"/>
    <x v="2"/>
    <x v="11"/>
    <x v="2"/>
  </r>
  <r>
    <s v="TX502115"/>
    <x v="5"/>
    <x v="21"/>
    <n v="86.9"/>
    <n v="1216.6000000000001"/>
    <d v="2025-03-19T00:00:00"/>
    <d v="2025-03-24T00:00:00"/>
    <s v="F"/>
    <x v="1"/>
    <x v="0"/>
    <x v="0"/>
    <x v="3"/>
    <x v="0"/>
    <x v="11"/>
    <x v="2"/>
  </r>
  <r>
    <s v="TX502116"/>
    <x v="8"/>
    <x v="0"/>
    <n v="18.3"/>
    <n v="18.3"/>
    <d v="2025-03-19T00:00:00"/>
    <d v="2025-03-20T00:00:00"/>
    <s v="F"/>
    <x v="0"/>
    <x v="0"/>
    <x v="0"/>
    <x v="3"/>
    <x v="3"/>
    <x v="11"/>
    <x v="2"/>
  </r>
  <r>
    <s v="TX502117"/>
    <x v="5"/>
    <x v="0"/>
    <n v="47.5"/>
    <n v="47.5"/>
    <d v="2025-03-19T00:00:00"/>
    <d v="2025-03-23T00:00:00"/>
    <s v="M"/>
    <x v="4"/>
    <x v="2"/>
    <x v="0"/>
    <x v="3"/>
    <x v="5"/>
    <x v="11"/>
    <x v="1"/>
  </r>
  <r>
    <s v="TX502118"/>
    <x v="1"/>
    <x v="1"/>
    <n v="78.599999999999994"/>
    <n v="157.19999999999999"/>
    <d v="2025-03-19T00:00:00"/>
    <d v="2025-03-20T00:00:00"/>
    <s v="M"/>
    <x v="2"/>
    <x v="2"/>
    <x v="0"/>
    <x v="3"/>
    <x v="3"/>
    <x v="11"/>
    <x v="1"/>
  </r>
  <r>
    <s v="TX502119"/>
    <x v="6"/>
    <x v="12"/>
    <n v="87.3"/>
    <n v="349.2"/>
    <d v="2025-03-19T00:00:00"/>
    <d v="2025-03-20T00:00:00"/>
    <s v="M"/>
    <x v="0"/>
    <x v="0"/>
    <x v="0"/>
    <x v="3"/>
    <x v="3"/>
    <x v="11"/>
    <x v="1"/>
  </r>
  <r>
    <s v="TX502120"/>
    <x v="9"/>
    <x v="1"/>
    <n v="63.2"/>
    <n v="126.4"/>
    <d v="2025-03-19T00:00:00"/>
    <d v="2025-03-19T00:00:00"/>
    <s v="M"/>
    <x v="4"/>
    <x v="1"/>
    <x v="0"/>
    <x v="3"/>
    <x v="7"/>
    <x v="11"/>
    <x v="1"/>
  </r>
  <r>
    <s v="TX502121"/>
    <x v="5"/>
    <x v="9"/>
    <n v="33.700000000000003"/>
    <n v="168.5"/>
    <d v="2025-03-19T00:00:00"/>
    <d v="2025-03-20T00:00:00"/>
    <s v="F"/>
    <x v="0"/>
    <x v="0"/>
    <x v="0"/>
    <x v="3"/>
    <x v="3"/>
    <x v="11"/>
    <x v="2"/>
  </r>
  <r>
    <s v="TX502122"/>
    <x v="2"/>
    <x v="2"/>
    <n v="107.4"/>
    <n v="322.20000000000005"/>
    <d v="2025-03-19T00:00:00"/>
    <d v="2025-04-01T00:00:00"/>
    <s v="F"/>
    <x v="1"/>
    <x v="2"/>
    <x v="0"/>
    <x v="3"/>
    <x v="10"/>
    <x v="11"/>
    <x v="2"/>
  </r>
  <r>
    <s v="TX502123"/>
    <x v="4"/>
    <x v="12"/>
    <n v="22.2"/>
    <n v="88.8"/>
    <d v="2025-03-19T00:00:00"/>
    <d v="2025-03-20T00:00:00"/>
    <s v=""/>
    <x v="1"/>
    <x v="2"/>
    <x v="0"/>
    <x v="24"/>
    <x v="3"/>
    <x v="11"/>
    <x v="0"/>
  </r>
  <r>
    <s v="TX502124"/>
    <x v="18"/>
    <x v="2"/>
    <n v="52.8"/>
    <n v="158.39999999999998"/>
    <d v="2025-03-19T00:00:00"/>
    <d v="2025-03-20T00:00:00"/>
    <s v="M"/>
    <x v="3"/>
    <x v="2"/>
    <x v="0"/>
    <x v="24"/>
    <x v="3"/>
    <x v="11"/>
    <x v="1"/>
  </r>
  <r>
    <s v="TX502125"/>
    <x v="8"/>
    <x v="2"/>
    <n v="41.5"/>
    <n v="124.5"/>
    <d v="2025-03-19T00:00:00"/>
    <d v="2025-03-22T00:00:00"/>
    <s v="F"/>
    <x v="0"/>
    <x v="0"/>
    <x v="0"/>
    <x v="25"/>
    <x v="2"/>
    <x v="11"/>
    <x v="2"/>
  </r>
  <r>
    <s v="TX502126"/>
    <x v="12"/>
    <x v="8"/>
    <n v="103.5"/>
    <n v="828"/>
    <d v="2025-03-19T00:00:00"/>
    <d v="2025-03-22T00:00:00"/>
    <s v="F"/>
    <x v="0"/>
    <x v="2"/>
    <x v="0"/>
    <x v="23"/>
    <x v="2"/>
    <x v="11"/>
    <x v="2"/>
  </r>
  <r>
    <s v="TX502127"/>
    <x v="4"/>
    <x v="21"/>
    <n v="37.5"/>
    <n v="525"/>
    <d v="2025-03-19T00:00:00"/>
    <d v="2025-03-19T00:00:00"/>
    <s v="F"/>
    <x v="1"/>
    <x v="2"/>
    <x v="0"/>
    <x v="6"/>
    <x v="7"/>
    <x v="11"/>
    <x v="2"/>
  </r>
  <r>
    <s v="TX502128"/>
    <x v="15"/>
    <x v="8"/>
    <n v="44.4"/>
    <n v="355.2"/>
    <d v="2025-03-19T00:00:00"/>
    <d v="2025-03-25T00:00:00"/>
    <s v="F"/>
    <x v="3"/>
    <x v="2"/>
    <x v="0"/>
    <x v="7"/>
    <x v="4"/>
    <x v="11"/>
    <x v="2"/>
  </r>
  <r>
    <s v="TX502129"/>
    <x v="8"/>
    <x v="2"/>
    <n v="26.2"/>
    <n v="78.599999999999994"/>
    <d v="2025-03-19T00:00:00"/>
    <d v="2025-03-20T00:00:00"/>
    <s v="M"/>
    <x v="0"/>
    <x v="0"/>
    <x v="0"/>
    <x v="8"/>
    <x v="3"/>
    <x v="11"/>
    <x v="1"/>
  </r>
  <r>
    <s v="TX502130"/>
    <x v="1"/>
    <x v="3"/>
    <n v="32.200000000000003"/>
    <n v="225.40000000000003"/>
    <d v="2025-03-19T00:00:00"/>
    <d v="2025-03-20T00:00:00"/>
    <s v="F"/>
    <x v="1"/>
    <x v="2"/>
    <x v="0"/>
    <x v="8"/>
    <x v="3"/>
    <x v="11"/>
    <x v="2"/>
  </r>
  <r>
    <s v="TX502131"/>
    <x v="8"/>
    <x v="0"/>
    <n v="17.399999999999999"/>
    <n v="17.399999999999999"/>
    <d v="2025-03-19T00:00:00"/>
    <d v="2025-03-23T00:00:00"/>
    <s v=""/>
    <x v="2"/>
    <x v="1"/>
    <x v="0"/>
    <x v="8"/>
    <x v="5"/>
    <x v="11"/>
    <x v="0"/>
  </r>
  <r>
    <s v="TX502132"/>
    <x v="8"/>
    <x v="13"/>
    <n v="72.3"/>
    <n v="433.79999999999995"/>
    <d v="2025-03-19T00:00:00"/>
    <d v="2025-03-22T00:00:00"/>
    <s v="F"/>
    <x v="0"/>
    <x v="0"/>
    <x v="0"/>
    <x v="8"/>
    <x v="2"/>
    <x v="11"/>
    <x v="2"/>
  </r>
  <r>
    <s v="TX502133"/>
    <x v="8"/>
    <x v="5"/>
    <n v="24.3"/>
    <n v="267.3"/>
    <d v="2025-03-19T00:00:00"/>
    <d v="2025-03-20T00:00:00"/>
    <s v="M"/>
    <x v="0"/>
    <x v="0"/>
    <x v="0"/>
    <x v="8"/>
    <x v="3"/>
    <x v="11"/>
    <x v="1"/>
  </r>
  <r>
    <s v="TX502134"/>
    <x v="13"/>
    <x v="2"/>
    <n v="49.1"/>
    <n v="147.30000000000001"/>
    <d v="2025-03-19T00:00:00"/>
    <d v="2025-03-25T00:00:00"/>
    <s v="M"/>
    <x v="2"/>
    <x v="4"/>
    <x v="0"/>
    <x v="8"/>
    <x v="4"/>
    <x v="11"/>
    <x v="1"/>
  </r>
  <r>
    <s v="TX502135"/>
    <x v="2"/>
    <x v="7"/>
    <n v="234.7"/>
    <n v="2347"/>
    <d v="2025-03-19T00:00:00"/>
    <d v="2025-03-20T00:00:00"/>
    <s v="M"/>
    <x v="3"/>
    <x v="1"/>
    <x v="0"/>
    <x v="8"/>
    <x v="3"/>
    <x v="11"/>
    <x v="1"/>
  </r>
  <r>
    <s v="TX502136"/>
    <x v="3"/>
    <x v="9"/>
    <n v="76.099999999999994"/>
    <n v="380.5"/>
    <d v="2025-03-19T00:00:00"/>
    <d v="2025-03-21T00:00:00"/>
    <s v="M"/>
    <x v="1"/>
    <x v="1"/>
    <x v="0"/>
    <x v="17"/>
    <x v="1"/>
    <x v="11"/>
    <x v="1"/>
  </r>
  <r>
    <s v="TX502137"/>
    <x v="1"/>
    <x v="2"/>
    <n v="93.9"/>
    <n v="281.70000000000005"/>
    <d v="2025-03-19T00:00:00"/>
    <d v="2025-03-20T00:00:00"/>
    <s v="M"/>
    <x v="1"/>
    <x v="4"/>
    <x v="0"/>
    <x v="11"/>
    <x v="3"/>
    <x v="11"/>
    <x v="1"/>
  </r>
  <r>
    <s v="TX502138"/>
    <x v="2"/>
    <x v="12"/>
    <n v="187"/>
    <n v="748"/>
    <d v="2025-03-20T00:00:00"/>
    <d v="2025-03-23T00:00:00"/>
    <s v="M"/>
    <x v="0"/>
    <x v="0"/>
    <x v="0"/>
    <x v="11"/>
    <x v="2"/>
    <x v="11"/>
    <x v="1"/>
  </r>
  <r>
    <s v="TX502139"/>
    <x v="8"/>
    <x v="1"/>
    <n v="18"/>
    <n v="36"/>
    <d v="2025-03-20T00:00:00"/>
    <d v="2025-03-21T00:00:00"/>
    <s v="F"/>
    <x v="1"/>
    <x v="2"/>
    <x v="0"/>
    <x v="53"/>
    <x v="3"/>
    <x v="11"/>
    <x v="2"/>
  </r>
  <r>
    <s v="TX502140"/>
    <x v="4"/>
    <x v="0"/>
    <n v="24.4"/>
    <n v="24.4"/>
    <d v="2025-03-20T00:00:00"/>
    <d v="2025-03-21T00:00:00"/>
    <s v="F"/>
    <x v="4"/>
    <x v="2"/>
    <x v="0"/>
    <x v="21"/>
    <x v="3"/>
    <x v="11"/>
    <x v="2"/>
  </r>
  <r>
    <s v="TX502141"/>
    <x v="10"/>
    <x v="1"/>
    <n v="38.799999999999997"/>
    <n v="77.599999999999994"/>
    <d v="2025-03-20T00:00:00"/>
    <d v="2025-03-21T00:00:00"/>
    <s v="M"/>
    <x v="4"/>
    <x v="1"/>
    <x v="0"/>
    <x v="3"/>
    <x v="3"/>
    <x v="11"/>
    <x v="1"/>
  </r>
  <r>
    <s v="TX502142"/>
    <x v="3"/>
    <x v="0"/>
    <n v="59.7"/>
    <n v="59.7"/>
    <d v="2025-03-20T00:00:00"/>
    <d v="2025-03-23T00:00:00"/>
    <s v="M"/>
    <x v="3"/>
    <x v="0"/>
    <x v="0"/>
    <x v="3"/>
    <x v="2"/>
    <x v="11"/>
    <x v="1"/>
  </r>
  <r>
    <s v="TX502143"/>
    <x v="7"/>
    <x v="0"/>
    <n v="31.2"/>
    <n v="31.2"/>
    <d v="2025-03-20T00:00:00"/>
    <d v="2025-03-21T00:00:00"/>
    <s v="M"/>
    <x v="1"/>
    <x v="2"/>
    <x v="0"/>
    <x v="3"/>
    <x v="3"/>
    <x v="11"/>
    <x v="1"/>
  </r>
  <r>
    <s v="TX502144"/>
    <x v="0"/>
    <x v="0"/>
    <n v="16.8"/>
    <n v="16.8"/>
    <d v="2025-03-20T00:00:00"/>
    <d v="2025-03-21T00:00:00"/>
    <s v="F"/>
    <x v="2"/>
    <x v="1"/>
    <x v="0"/>
    <x v="3"/>
    <x v="3"/>
    <x v="11"/>
    <x v="2"/>
  </r>
  <r>
    <s v="TX502145"/>
    <x v="8"/>
    <x v="0"/>
    <n v="46"/>
    <n v="46"/>
    <d v="2025-03-20T00:00:00"/>
    <d v="2025-03-21T00:00:00"/>
    <s v="M"/>
    <x v="0"/>
    <x v="0"/>
    <x v="0"/>
    <x v="3"/>
    <x v="3"/>
    <x v="11"/>
    <x v="1"/>
  </r>
  <r>
    <s v="TX502146"/>
    <x v="9"/>
    <x v="8"/>
    <n v="42.2"/>
    <n v="337.6"/>
    <d v="2025-03-20T00:00:00"/>
    <d v="2025-03-23T00:00:00"/>
    <s v="F"/>
    <x v="3"/>
    <x v="2"/>
    <x v="0"/>
    <x v="3"/>
    <x v="2"/>
    <x v="11"/>
    <x v="2"/>
  </r>
  <r>
    <s v="TX502147"/>
    <x v="1"/>
    <x v="2"/>
    <n v="71.5"/>
    <n v="214.5"/>
    <d v="2025-03-20T00:00:00"/>
    <d v="2025-04-03T00:00:00"/>
    <s v="F"/>
    <x v="0"/>
    <x v="0"/>
    <x v="0"/>
    <x v="3"/>
    <x v="12"/>
    <x v="11"/>
    <x v="2"/>
  </r>
  <r>
    <s v="TX502148"/>
    <x v="1"/>
    <x v="1"/>
    <n v="76.599999999999994"/>
    <n v="153.19999999999999"/>
    <d v="2025-03-20T00:00:00"/>
    <d v="2025-03-20T00:00:00"/>
    <s v="M"/>
    <x v="0"/>
    <x v="2"/>
    <x v="0"/>
    <x v="3"/>
    <x v="7"/>
    <x v="11"/>
    <x v="1"/>
  </r>
  <r>
    <s v="TX502149"/>
    <x v="12"/>
    <x v="1"/>
    <n v="87.3"/>
    <n v="174.6"/>
    <d v="2025-03-20T00:00:00"/>
    <d v="2025-03-28T00:00:00"/>
    <s v="F"/>
    <x v="3"/>
    <x v="2"/>
    <x v="0"/>
    <x v="3"/>
    <x v="9"/>
    <x v="11"/>
    <x v="2"/>
  </r>
  <r>
    <s v="TX502150"/>
    <x v="1"/>
    <x v="0"/>
    <n v="63"/>
    <n v="63"/>
    <d v="2025-03-20T00:00:00"/>
    <d v="2025-03-23T00:00:00"/>
    <s v="M"/>
    <x v="3"/>
    <x v="0"/>
    <x v="0"/>
    <x v="3"/>
    <x v="2"/>
    <x v="11"/>
    <x v="1"/>
  </r>
  <r>
    <s v="TX502151"/>
    <x v="8"/>
    <x v="1"/>
    <n v="41.7"/>
    <n v="83.4"/>
    <d v="2025-03-20T00:00:00"/>
    <d v="2025-03-21T00:00:00"/>
    <s v="F"/>
    <x v="4"/>
    <x v="1"/>
    <x v="0"/>
    <x v="43"/>
    <x v="3"/>
    <x v="11"/>
    <x v="2"/>
  </r>
  <r>
    <s v="TX502152"/>
    <x v="6"/>
    <x v="1"/>
    <n v="76.099999999999994"/>
    <n v="152.19999999999999"/>
    <d v="2025-03-20T00:00:00"/>
    <d v="2025-03-20T00:00:00"/>
    <s v="F"/>
    <x v="4"/>
    <x v="2"/>
    <x v="0"/>
    <x v="16"/>
    <x v="7"/>
    <x v="11"/>
    <x v="2"/>
  </r>
  <r>
    <s v="TX502153"/>
    <x v="13"/>
    <x v="1"/>
    <n v="28.5"/>
    <n v="57"/>
    <d v="2025-03-20T00:00:00"/>
    <d v="2025-03-21T00:00:00"/>
    <s v="F"/>
    <x v="0"/>
    <x v="2"/>
    <x v="0"/>
    <x v="4"/>
    <x v="3"/>
    <x v="11"/>
    <x v="2"/>
  </r>
  <r>
    <s v="TX502154"/>
    <x v="0"/>
    <x v="12"/>
    <n v="32.1"/>
    <n v="128.4"/>
    <d v="2025-03-20T00:00:00"/>
    <d v="2025-03-21T00:00:00"/>
    <s v="F"/>
    <x v="1"/>
    <x v="2"/>
    <x v="0"/>
    <x v="25"/>
    <x v="3"/>
    <x v="11"/>
    <x v="2"/>
  </r>
  <r>
    <s v="TX502155"/>
    <x v="4"/>
    <x v="2"/>
    <n v="39"/>
    <n v="117"/>
    <d v="2025-03-20T00:00:00"/>
    <d v="2025-03-23T00:00:00"/>
    <s v="M"/>
    <x v="1"/>
    <x v="2"/>
    <x v="0"/>
    <x v="25"/>
    <x v="2"/>
    <x v="11"/>
    <x v="1"/>
  </r>
  <r>
    <s v="TX502156"/>
    <x v="6"/>
    <x v="0"/>
    <n v="78.5"/>
    <n v="78.5"/>
    <d v="2025-03-20T00:00:00"/>
    <d v="2025-03-21T00:00:00"/>
    <s v="M"/>
    <x v="1"/>
    <x v="0"/>
    <x v="0"/>
    <x v="6"/>
    <x v="3"/>
    <x v="11"/>
    <x v="1"/>
  </r>
  <r>
    <s v="TX502157"/>
    <x v="4"/>
    <x v="9"/>
    <n v="49.7"/>
    <n v="248.5"/>
    <d v="2025-03-20T00:00:00"/>
    <d v="2025-03-22T00:00:00"/>
    <s v="F"/>
    <x v="0"/>
    <x v="0"/>
    <x v="0"/>
    <x v="6"/>
    <x v="1"/>
    <x v="11"/>
    <x v="2"/>
  </r>
  <r>
    <s v="TX502158"/>
    <x v="1"/>
    <x v="12"/>
    <n v="68.400000000000006"/>
    <n v="273.60000000000002"/>
    <d v="2025-03-20T00:00:00"/>
    <d v="2025-03-21T00:00:00"/>
    <s v="F"/>
    <x v="2"/>
    <x v="2"/>
    <x v="0"/>
    <x v="7"/>
    <x v="3"/>
    <x v="11"/>
    <x v="2"/>
  </r>
  <r>
    <s v="TX502159"/>
    <x v="3"/>
    <x v="1"/>
    <n v="72.900000000000006"/>
    <n v="145.80000000000001"/>
    <d v="2025-03-20T00:00:00"/>
    <d v="2025-03-23T00:00:00"/>
    <s v=""/>
    <x v="0"/>
    <x v="2"/>
    <x v="0"/>
    <x v="7"/>
    <x v="2"/>
    <x v="11"/>
    <x v="0"/>
  </r>
  <r>
    <s v="TX502160"/>
    <x v="5"/>
    <x v="15"/>
    <n v="30.3"/>
    <n v="393.90000000000003"/>
    <d v="2025-03-20T00:00:00"/>
    <d v="2025-03-21T00:00:00"/>
    <s v="M"/>
    <x v="4"/>
    <x v="0"/>
    <x v="0"/>
    <x v="7"/>
    <x v="3"/>
    <x v="11"/>
    <x v="1"/>
  </r>
  <r>
    <s v="TX502161"/>
    <x v="6"/>
    <x v="5"/>
    <n v="57.9"/>
    <n v="636.9"/>
    <d v="2025-03-20T00:00:00"/>
    <d v="2025-03-21T00:00:00"/>
    <s v="F"/>
    <x v="0"/>
    <x v="0"/>
    <x v="0"/>
    <x v="8"/>
    <x v="3"/>
    <x v="11"/>
    <x v="2"/>
  </r>
  <r>
    <s v="TX502162"/>
    <x v="1"/>
    <x v="0"/>
    <n v="96.7"/>
    <n v="96.7"/>
    <d v="2025-03-20T00:00:00"/>
    <d v="2025-03-21T00:00:00"/>
    <s v="M"/>
    <x v="0"/>
    <x v="0"/>
    <x v="0"/>
    <x v="8"/>
    <x v="3"/>
    <x v="11"/>
    <x v="1"/>
  </r>
  <r>
    <s v="TX502163"/>
    <x v="8"/>
    <x v="4"/>
    <n v="27.6"/>
    <n v="331.20000000000005"/>
    <d v="2025-03-20T00:00:00"/>
    <d v="2025-03-22T00:00:00"/>
    <s v="M"/>
    <x v="2"/>
    <x v="2"/>
    <x v="0"/>
    <x v="8"/>
    <x v="1"/>
    <x v="11"/>
    <x v="1"/>
  </r>
  <r>
    <s v="TX502164"/>
    <x v="6"/>
    <x v="12"/>
    <n v="64.7"/>
    <n v="258.8"/>
    <d v="2025-03-20T00:00:00"/>
    <d v="2025-03-20T00:00:00"/>
    <s v="M"/>
    <x v="3"/>
    <x v="2"/>
    <x v="0"/>
    <x v="8"/>
    <x v="7"/>
    <x v="11"/>
    <x v="1"/>
  </r>
  <r>
    <s v="TX502165"/>
    <x v="10"/>
    <x v="13"/>
    <n v="30.5"/>
    <n v="183"/>
    <d v="2025-03-20T00:00:00"/>
    <d v="2025-03-21T00:00:00"/>
    <s v="M"/>
    <x v="4"/>
    <x v="0"/>
    <x v="0"/>
    <x v="8"/>
    <x v="3"/>
    <x v="11"/>
    <x v="1"/>
  </r>
  <r>
    <s v="TX502166"/>
    <x v="6"/>
    <x v="47"/>
    <n v="106"/>
    <n v="7420"/>
    <d v="2025-03-21T00:00:00"/>
    <d v="2025-03-23T00:00:00"/>
    <s v="M"/>
    <x v="4"/>
    <x v="2"/>
    <x v="0"/>
    <x v="8"/>
    <x v="1"/>
    <x v="11"/>
    <x v="1"/>
  </r>
  <r>
    <s v="TX502167"/>
    <x v="12"/>
    <x v="9"/>
    <n v="76.8"/>
    <n v="384"/>
    <d v="2025-03-21T00:00:00"/>
    <d v="2025-03-27T00:00:00"/>
    <s v=""/>
    <x v="1"/>
    <x v="1"/>
    <x v="0"/>
    <x v="18"/>
    <x v="4"/>
    <x v="11"/>
    <x v="0"/>
  </r>
  <r>
    <s v="TX502168"/>
    <x v="6"/>
    <x v="1"/>
    <n v="80.400000000000006"/>
    <n v="160.80000000000001"/>
    <d v="2025-03-21T00:00:00"/>
    <d v="2025-03-22T00:00:00"/>
    <s v="F"/>
    <x v="2"/>
    <x v="0"/>
    <x v="0"/>
    <x v="13"/>
    <x v="3"/>
    <x v="11"/>
    <x v="2"/>
  </r>
  <r>
    <s v="TX502169"/>
    <x v="6"/>
    <x v="12"/>
    <n v="69.099999999999994"/>
    <n v="276.39999999999998"/>
    <d v="2025-03-21T00:00:00"/>
    <d v="2025-03-22T00:00:00"/>
    <s v="M"/>
    <x v="1"/>
    <x v="2"/>
    <x v="0"/>
    <x v="21"/>
    <x v="3"/>
    <x v="11"/>
    <x v="1"/>
  </r>
  <r>
    <s v="TX502170"/>
    <x v="18"/>
    <x v="1"/>
    <n v="76.400000000000006"/>
    <n v="152.80000000000001"/>
    <d v="2025-03-21T00:00:00"/>
    <d v="2025-03-21T00:00:00"/>
    <s v="M"/>
    <x v="3"/>
    <x v="0"/>
    <x v="0"/>
    <x v="21"/>
    <x v="7"/>
    <x v="11"/>
    <x v="1"/>
  </r>
  <r>
    <s v="TX502171"/>
    <x v="2"/>
    <x v="1"/>
    <n v="61.3"/>
    <n v="122.6"/>
    <d v="2025-03-21T00:00:00"/>
    <d v="2025-03-22T00:00:00"/>
    <s v="F"/>
    <x v="1"/>
    <x v="1"/>
    <x v="0"/>
    <x v="21"/>
    <x v="3"/>
    <x v="11"/>
    <x v="2"/>
  </r>
  <r>
    <s v="TX502172"/>
    <x v="7"/>
    <x v="0"/>
    <n v="58"/>
    <n v="58"/>
    <d v="2025-03-21T00:00:00"/>
    <d v="2025-03-22T00:00:00"/>
    <s v="M"/>
    <x v="3"/>
    <x v="1"/>
    <x v="0"/>
    <x v="1"/>
    <x v="3"/>
    <x v="11"/>
    <x v="1"/>
  </r>
  <r>
    <s v="TX502173"/>
    <x v="2"/>
    <x v="8"/>
    <n v="102.3"/>
    <n v="818.4"/>
    <d v="2025-03-21T00:00:00"/>
    <d v="2025-03-23T00:00:00"/>
    <s v="M"/>
    <x v="2"/>
    <x v="0"/>
    <x v="0"/>
    <x v="42"/>
    <x v="1"/>
    <x v="11"/>
    <x v="1"/>
  </r>
  <r>
    <s v="TX502174"/>
    <x v="19"/>
    <x v="1"/>
    <n v="13.8"/>
    <n v="27.6"/>
    <d v="2025-03-21T00:00:00"/>
    <d v="2025-03-22T00:00:00"/>
    <s v="F"/>
    <x v="4"/>
    <x v="2"/>
    <x v="0"/>
    <x v="2"/>
    <x v="3"/>
    <x v="11"/>
    <x v="2"/>
  </r>
  <r>
    <s v="TX502175"/>
    <x v="8"/>
    <x v="2"/>
    <n v="33.299999999999997"/>
    <n v="99.899999999999991"/>
    <d v="2025-03-21T00:00:00"/>
    <d v="2025-03-24T00:00:00"/>
    <s v="F"/>
    <x v="2"/>
    <x v="0"/>
    <x v="0"/>
    <x v="22"/>
    <x v="2"/>
    <x v="11"/>
    <x v="2"/>
  </r>
  <r>
    <s v="TX502176"/>
    <x v="10"/>
    <x v="0"/>
    <n v="27.4"/>
    <n v="27.4"/>
    <d v="2025-03-21T00:00:00"/>
    <d v="2025-03-24T00:00:00"/>
    <s v="M"/>
    <x v="0"/>
    <x v="2"/>
    <x v="0"/>
    <x v="22"/>
    <x v="2"/>
    <x v="11"/>
    <x v="1"/>
  </r>
  <r>
    <s v="TX502177"/>
    <x v="14"/>
    <x v="1"/>
    <n v="25.6"/>
    <n v="51.2"/>
    <d v="2025-03-21T00:00:00"/>
    <d v="2025-03-22T00:00:00"/>
    <s v="F"/>
    <x v="1"/>
    <x v="1"/>
    <x v="0"/>
    <x v="3"/>
    <x v="3"/>
    <x v="11"/>
    <x v="2"/>
  </r>
  <r>
    <s v="TX502178"/>
    <x v="13"/>
    <x v="0"/>
    <n v="58.4"/>
    <n v="58.4"/>
    <d v="2025-03-21T00:00:00"/>
    <d v="2025-03-22T00:00:00"/>
    <s v="F"/>
    <x v="2"/>
    <x v="2"/>
    <x v="0"/>
    <x v="3"/>
    <x v="3"/>
    <x v="11"/>
    <x v="2"/>
  </r>
  <r>
    <s v="TX502179"/>
    <x v="11"/>
    <x v="17"/>
    <n v="27"/>
    <n v="810"/>
    <d v="2025-03-21T00:00:00"/>
    <d v="2025-03-22T00:00:00"/>
    <s v="F"/>
    <x v="4"/>
    <x v="0"/>
    <x v="0"/>
    <x v="3"/>
    <x v="3"/>
    <x v="11"/>
    <x v="2"/>
  </r>
  <r>
    <s v="TX502180"/>
    <x v="0"/>
    <x v="12"/>
    <n v="14.2"/>
    <n v="56.8"/>
    <d v="2025-03-21T00:00:00"/>
    <d v="2025-03-22T00:00:00"/>
    <s v="M"/>
    <x v="0"/>
    <x v="2"/>
    <x v="0"/>
    <x v="3"/>
    <x v="3"/>
    <x v="11"/>
    <x v="1"/>
  </r>
  <r>
    <s v="TX502181"/>
    <x v="7"/>
    <x v="1"/>
    <n v="68"/>
    <n v="136"/>
    <d v="2025-03-21T00:00:00"/>
    <d v="2025-03-31T00:00:00"/>
    <s v="M"/>
    <x v="2"/>
    <x v="1"/>
    <x v="0"/>
    <x v="3"/>
    <x v="14"/>
    <x v="11"/>
    <x v="1"/>
  </r>
  <r>
    <s v="TX502182"/>
    <x v="8"/>
    <x v="0"/>
    <n v="30.7"/>
    <n v="30.7"/>
    <d v="2025-03-21T00:00:00"/>
    <d v="2025-03-22T00:00:00"/>
    <s v="M"/>
    <x v="0"/>
    <x v="0"/>
    <x v="0"/>
    <x v="3"/>
    <x v="3"/>
    <x v="11"/>
    <x v="1"/>
  </r>
  <r>
    <s v="TX502183"/>
    <x v="17"/>
    <x v="15"/>
    <n v="51.6"/>
    <n v="670.80000000000007"/>
    <d v="2025-03-21T00:00:00"/>
    <d v="2025-03-24T00:00:00"/>
    <s v="O"/>
    <x v="1"/>
    <x v="2"/>
    <x v="0"/>
    <x v="3"/>
    <x v="2"/>
    <x v="11"/>
    <x v="3"/>
  </r>
  <r>
    <s v="TX502184"/>
    <x v="8"/>
    <x v="2"/>
    <n v="20.6"/>
    <n v="61.800000000000004"/>
    <d v="2025-03-21T00:00:00"/>
    <d v="2025-03-25T00:00:00"/>
    <s v="F"/>
    <x v="4"/>
    <x v="2"/>
    <x v="0"/>
    <x v="3"/>
    <x v="5"/>
    <x v="11"/>
    <x v="2"/>
  </r>
  <r>
    <s v="TX502185"/>
    <x v="8"/>
    <x v="0"/>
    <n v="24.8"/>
    <n v="24.8"/>
    <d v="2025-03-21T00:00:00"/>
    <d v="2025-03-22T00:00:00"/>
    <s v="M"/>
    <x v="4"/>
    <x v="0"/>
    <x v="0"/>
    <x v="3"/>
    <x v="3"/>
    <x v="11"/>
    <x v="1"/>
  </r>
  <r>
    <s v="TX502186"/>
    <x v="0"/>
    <x v="3"/>
    <n v="11.2"/>
    <n v="78.399999999999991"/>
    <d v="2025-03-21T00:00:00"/>
    <d v="2025-03-24T00:00:00"/>
    <s v="M"/>
    <x v="1"/>
    <x v="0"/>
    <x v="0"/>
    <x v="3"/>
    <x v="2"/>
    <x v="11"/>
    <x v="1"/>
  </r>
  <r>
    <s v="TX502187"/>
    <x v="11"/>
    <x v="1"/>
    <n v="51.2"/>
    <n v="102.4"/>
    <d v="2025-03-21T00:00:00"/>
    <d v="2025-03-22T00:00:00"/>
    <s v="F"/>
    <x v="1"/>
    <x v="2"/>
    <x v="0"/>
    <x v="3"/>
    <x v="3"/>
    <x v="11"/>
    <x v="2"/>
  </r>
  <r>
    <s v="TX502188"/>
    <x v="7"/>
    <x v="13"/>
    <n v="90.5"/>
    <n v="543"/>
    <d v="2025-03-21T00:00:00"/>
    <d v="2025-03-22T00:00:00"/>
    <s v="F"/>
    <x v="1"/>
    <x v="4"/>
    <x v="0"/>
    <x v="3"/>
    <x v="3"/>
    <x v="11"/>
    <x v="2"/>
  </r>
  <r>
    <s v="TX502189"/>
    <x v="1"/>
    <x v="1"/>
    <n v="42.4"/>
    <n v="84.8"/>
    <d v="2025-03-21T00:00:00"/>
    <d v="2025-03-22T00:00:00"/>
    <s v="M"/>
    <x v="1"/>
    <x v="2"/>
    <x v="0"/>
    <x v="4"/>
    <x v="3"/>
    <x v="11"/>
    <x v="1"/>
  </r>
  <r>
    <s v="TX502190"/>
    <x v="1"/>
    <x v="1"/>
    <n v="38.200000000000003"/>
    <n v="76.400000000000006"/>
    <d v="2025-03-21T00:00:00"/>
    <d v="2025-03-22T00:00:00"/>
    <s v="M"/>
    <x v="0"/>
    <x v="0"/>
    <x v="0"/>
    <x v="5"/>
    <x v="3"/>
    <x v="11"/>
    <x v="1"/>
  </r>
  <r>
    <s v="TX502191"/>
    <x v="2"/>
    <x v="11"/>
    <n v="121.3"/>
    <n v="1091.7"/>
    <d v="2025-03-21T00:00:00"/>
    <d v="2025-03-26T00:00:00"/>
    <s v="M"/>
    <x v="0"/>
    <x v="0"/>
    <x v="0"/>
    <x v="6"/>
    <x v="0"/>
    <x v="11"/>
    <x v="1"/>
  </r>
  <r>
    <s v="TX502192"/>
    <x v="6"/>
    <x v="1"/>
    <n v="46.9"/>
    <n v="93.8"/>
    <d v="2025-03-21T00:00:00"/>
    <d v="2025-03-28T00:00:00"/>
    <s v="M"/>
    <x v="0"/>
    <x v="0"/>
    <x v="0"/>
    <x v="8"/>
    <x v="6"/>
    <x v="11"/>
    <x v="1"/>
  </r>
  <r>
    <s v="TX502193"/>
    <x v="10"/>
    <x v="0"/>
    <n v="55.3"/>
    <n v="55.3"/>
    <d v="2025-03-21T00:00:00"/>
    <d v="2025-03-23T00:00:00"/>
    <s v="M"/>
    <x v="0"/>
    <x v="0"/>
    <x v="0"/>
    <x v="8"/>
    <x v="1"/>
    <x v="11"/>
    <x v="1"/>
  </r>
  <r>
    <s v="TX502194"/>
    <x v="2"/>
    <x v="2"/>
    <n v="70.599999999999994"/>
    <n v="211.79999999999998"/>
    <d v="2025-03-22T00:00:00"/>
    <d v="2025-03-22T00:00:00"/>
    <s v="F"/>
    <x v="0"/>
    <x v="1"/>
    <x v="0"/>
    <x v="8"/>
    <x v="7"/>
    <x v="11"/>
    <x v="2"/>
  </r>
  <r>
    <s v="TX502195"/>
    <x v="14"/>
    <x v="12"/>
    <n v="26.1"/>
    <n v="104.4"/>
    <d v="2025-03-22T00:00:00"/>
    <d v="2025-03-24T00:00:00"/>
    <s v="M"/>
    <x v="0"/>
    <x v="0"/>
    <x v="0"/>
    <x v="8"/>
    <x v="1"/>
    <x v="11"/>
    <x v="1"/>
  </r>
  <r>
    <s v="TX502196"/>
    <x v="9"/>
    <x v="5"/>
    <n v="34.5"/>
    <n v="379.5"/>
    <d v="2025-03-22T00:00:00"/>
    <d v="2025-03-26T00:00:00"/>
    <s v="M"/>
    <x v="2"/>
    <x v="0"/>
    <x v="0"/>
    <x v="17"/>
    <x v="5"/>
    <x v="11"/>
    <x v="1"/>
  </r>
  <r>
    <s v="TX502197"/>
    <x v="1"/>
    <x v="1"/>
    <n v="64.2"/>
    <n v="128.4"/>
    <d v="2025-03-22T00:00:00"/>
    <d v="2025-03-23T00:00:00"/>
    <s v="F"/>
    <x v="0"/>
    <x v="1"/>
    <x v="0"/>
    <x v="17"/>
    <x v="3"/>
    <x v="11"/>
    <x v="2"/>
  </r>
  <r>
    <s v="TX502198"/>
    <x v="2"/>
    <x v="12"/>
    <n v="145.69999999999999"/>
    <n v="582.79999999999995"/>
    <d v="2025-03-22T00:00:00"/>
    <d v="2025-03-23T00:00:00"/>
    <s v="F"/>
    <x v="0"/>
    <x v="4"/>
    <x v="0"/>
    <x v="17"/>
    <x v="3"/>
    <x v="11"/>
    <x v="2"/>
  </r>
  <r>
    <s v="TX502199"/>
    <x v="12"/>
    <x v="1"/>
    <n v="78.5"/>
    <n v="157"/>
    <d v="2025-03-22T00:00:00"/>
    <d v="2025-03-23T00:00:00"/>
    <s v="M"/>
    <x v="2"/>
    <x v="0"/>
    <x v="0"/>
    <x v="26"/>
    <x v="3"/>
    <x v="11"/>
    <x v="1"/>
  </r>
  <r>
    <s v="TX502200"/>
    <x v="1"/>
    <x v="0"/>
    <n v="34.200000000000003"/>
    <n v="34.200000000000003"/>
    <d v="2025-03-22T00:00:00"/>
    <d v="2025-03-24T00:00:00"/>
    <s v="M"/>
    <x v="0"/>
    <x v="0"/>
    <x v="0"/>
    <x v="9"/>
    <x v="1"/>
    <x v="11"/>
    <x v="1"/>
  </r>
  <r>
    <s v="TX502201"/>
    <x v="19"/>
    <x v="0"/>
    <n v="26.2"/>
    <n v="26.2"/>
    <d v="2025-03-22T00:00:00"/>
    <d v="2025-03-23T00:00:00"/>
    <s v="M"/>
    <x v="2"/>
    <x v="0"/>
    <x v="0"/>
    <x v="9"/>
    <x v="3"/>
    <x v="11"/>
    <x v="1"/>
  </r>
  <r>
    <s v="TX502202"/>
    <x v="6"/>
    <x v="12"/>
    <n v="53.2"/>
    <n v="212.8"/>
    <d v="2025-03-22T00:00:00"/>
    <d v="2025-03-23T00:00:00"/>
    <s v="M"/>
    <x v="1"/>
    <x v="1"/>
    <x v="0"/>
    <x v="11"/>
    <x v="3"/>
    <x v="11"/>
    <x v="1"/>
  </r>
  <r>
    <s v="TX502203"/>
    <x v="1"/>
    <x v="0"/>
    <n v="35.4"/>
    <n v="35.4"/>
    <d v="2025-03-22T00:00:00"/>
    <d v="2025-03-26T00:00:00"/>
    <s v="M"/>
    <x v="1"/>
    <x v="4"/>
    <x v="0"/>
    <x v="18"/>
    <x v="5"/>
    <x v="11"/>
    <x v="1"/>
  </r>
  <r>
    <s v="TX502204"/>
    <x v="14"/>
    <x v="1"/>
    <n v="21.3"/>
    <n v="42.6"/>
    <d v="2025-03-22T00:00:00"/>
    <d v="2025-03-23T00:00:00"/>
    <s v="M"/>
    <x v="2"/>
    <x v="0"/>
    <x v="0"/>
    <x v="20"/>
    <x v="3"/>
    <x v="11"/>
    <x v="1"/>
  </r>
  <r>
    <s v="TX502205"/>
    <x v="8"/>
    <x v="12"/>
    <n v="32.9"/>
    <n v="131.6"/>
    <d v="2025-03-22T00:00:00"/>
    <d v="2025-03-25T00:00:00"/>
    <s v="F"/>
    <x v="4"/>
    <x v="2"/>
    <x v="0"/>
    <x v="21"/>
    <x v="2"/>
    <x v="11"/>
    <x v="2"/>
  </r>
  <r>
    <s v="TX502206"/>
    <x v="5"/>
    <x v="20"/>
    <n v="85.5"/>
    <n v="1282.5"/>
    <d v="2025-03-22T00:00:00"/>
    <d v="2025-03-24T00:00:00"/>
    <s v="F"/>
    <x v="3"/>
    <x v="1"/>
    <x v="0"/>
    <x v="21"/>
    <x v="1"/>
    <x v="11"/>
    <x v="2"/>
  </r>
  <r>
    <s v="TX502207"/>
    <x v="4"/>
    <x v="0"/>
    <n v="26.8"/>
    <n v="26.8"/>
    <d v="2025-03-22T00:00:00"/>
    <d v="2025-03-23T00:00:00"/>
    <s v="F"/>
    <x v="0"/>
    <x v="1"/>
    <x v="0"/>
    <x v="2"/>
    <x v="3"/>
    <x v="11"/>
    <x v="2"/>
  </r>
  <r>
    <s v="TX502208"/>
    <x v="9"/>
    <x v="18"/>
    <n v="31.7"/>
    <n v="824.19999999999993"/>
    <d v="2025-03-22T00:00:00"/>
    <d v="2025-03-22T00:00:00"/>
    <s v="F"/>
    <x v="3"/>
    <x v="0"/>
    <x v="0"/>
    <x v="2"/>
    <x v="7"/>
    <x v="11"/>
    <x v="2"/>
  </r>
  <r>
    <s v="TX502209"/>
    <x v="1"/>
    <x v="1"/>
    <n v="78.3"/>
    <n v="156.6"/>
    <d v="2025-03-22T00:00:00"/>
    <d v="2025-03-24T00:00:00"/>
    <s v="F"/>
    <x v="1"/>
    <x v="1"/>
    <x v="0"/>
    <x v="3"/>
    <x v="1"/>
    <x v="11"/>
    <x v="2"/>
  </r>
  <r>
    <s v="TX502210"/>
    <x v="6"/>
    <x v="0"/>
    <n v="43.9"/>
    <n v="43.9"/>
    <d v="2025-03-22T00:00:00"/>
    <d v="2025-03-23T00:00:00"/>
    <s v="M"/>
    <x v="0"/>
    <x v="0"/>
    <x v="0"/>
    <x v="3"/>
    <x v="3"/>
    <x v="11"/>
    <x v="1"/>
  </r>
  <r>
    <s v="TX502211"/>
    <x v="18"/>
    <x v="2"/>
    <n v="84"/>
    <n v="252"/>
    <d v="2025-03-22T00:00:00"/>
    <d v="2025-03-24T00:00:00"/>
    <s v=""/>
    <x v="3"/>
    <x v="2"/>
    <x v="0"/>
    <x v="3"/>
    <x v="1"/>
    <x v="11"/>
    <x v="0"/>
  </r>
  <r>
    <s v="TX502212"/>
    <x v="0"/>
    <x v="2"/>
    <n v="11.4"/>
    <n v="34.200000000000003"/>
    <d v="2025-03-22T00:00:00"/>
    <d v="2025-03-23T00:00:00"/>
    <s v="M"/>
    <x v="4"/>
    <x v="0"/>
    <x v="0"/>
    <x v="3"/>
    <x v="3"/>
    <x v="11"/>
    <x v="1"/>
  </r>
  <r>
    <s v="TX502213"/>
    <x v="12"/>
    <x v="8"/>
    <n v="47.5"/>
    <n v="380"/>
    <d v="2025-03-22T00:00:00"/>
    <d v="2025-03-30T00:00:00"/>
    <s v="F"/>
    <x v="0"/>
    <x v="0"/>
    <x v="0"/>
    <x v="3"/>
    <x v="9"/>
    <x v="11"/>
    <x v="2"/>
  </r>
  <r>
    <s v="TX502214"/>
    <x v="9"/>
    <x v="5"/>
    <n v="50.5"/>
    <n v="555.5"/>
    <d v="2025-03-22T00:00:00"/>
    <d v="2025-03-24T00:00:00"/>
    <s v="M"/>
    <x v="2"/>
    <x v="0"/>
    <x v="0"/>
    <x v="3"/>
    <x v="1"/>
    <x v="11"/>
    <x v="1"/>
  </r>
  <r>
    <s v="TX502215"/>
    <x v="15"/>
    <x v="0"/>
    <n v="36.299999999999997"/>
    <n v="36.299999999999997"/>
    <d v="2025-03-22T00:00:00"/>
    <d v="2025-03-25T00:00:00"/>
    <s v="O"/>
    <x v="0"/>
    <x v="1"/>
    <x v="0"/>
    <x v="8"/>
    <x v="2"/>
    <x v="11"/>
    <x v="3"/>
  </r>
  <r>
    <s v="TX502216"/>
    <x v="8"/>
    <x v="1"/>
    <n v="35.4"/>
    <n v="70.8"/>
    <d v="2025-03-22T00:00:00"/>
    <d v="2025-03-23T00:00:00"/>
    <s v="F"/>
    <x v="0"/>
    <x v="0"/>
    <x v="0"/>
    <x v="17"/>
    <x v="3"/>
    <x v="11"/>
    <x v="2"/>
  </r>
  <r>
    <s v="TX502217"/>
    <x v="1"/>
    <x v="2"/>
    <n v="45.9"/>
    <n v="137.69999999999999"/>
    <d v="2025-03-23T00:00:00"/>
    <d v="2025-03-24T00:00:00"/>
    <s v="M"/>
    <x v="3"/>
    <x v="0"/>
    <x v="0"/>
    <x v="9"/>
    <x v="3"/>
    <x v="12"/>
    <x v="1"/>
  </r>
  <r>
    <s v="TX502218"/>
    <x v="6"/>
    <x v="7"/>
    <n v="41.2"/>
    <n v="412"/>
    <d v="2025-03-23T00:00:00"/>
    <d v="2025-03-27T00:00:00"/>
    <s v="M"/>
    <x v="0"/>
    <x v="0"/>
    <x v="0"/>
    <x v="11"/>
    <x v="5"/>
    <x v="12"/>
    <x v="1"/>
  </r>
  <r>
    <s v="TX502219"/>
    <x v="17"/>
    <x v="1"/>
    <n v="45.1"/>
    <n v="90.2"/>
    <d v="2025-03-23T00:00:00"/>
    <d v="2025-03-24T00:00:00"/>
    <s v="M"/>
    <x v="1"/>
    <x v="1"/>
    <x v="0"/>
    <x v="21"/>
    <x v="3"/>
    <x v="12"/>
    <x v="1"/>
  </r>
  <r>
    <s v="TX502220"/>
    <x v="6"/>
    <x v="7"/>
    <n v="63.6"/>
    <n v="636"/>
    <d v="2025-03-23T00:00:00"/>
    <d v="2025-03-23T00:00:00"/>
    <s v="M"/>
    <x v="2"/>
    <x v="0"/>
    <x v="0"/>
    <x v="1"/>
    <x v="7"/>
    <x v="12"/>
    <x v="1"/>
  </r>
  <r>
    <s v="TX502221"/>
    <x v="8"/>
    <x v="0"/>
    <n v="70.5"/>
    <n v="70.5"/>
    <d v="2025-03-23T00:00:00"/>
    <d v="2025-03-24T00:00:00"/>
    <s v="M"/>
    <x v="0"/>
    <x v="0"/>
    <x v="0"/>
    <x v="3"/>
    <x v="3"/>
    <x v="12"/>
    <x v="1"/>
  </r>
  <r>
    <s v="TX502222"/>
    <x v="6"/>
    <x v="0"/>
    <n v="41.3"/>
    <n v="41.3"/>
    <d v="2025-03-23T00:00:00"/>
    <d v="2025-03-23T00:00:00"/>
    <s v="M"/>
    <x v="4"/>
    <x v="0"/>
    <x v="0"/>
    <x v="3"/>
    <x v="7"/>
    <x v="12"/>
    <x v="1"/>
  </r>
  <r>
    <s v="TX502223"/>
    <x v="4"/>
    <x v="0"/>
    <n v="35.299999999999997"/>
    <n v="35.299999999999997"/>
    <d v="2025-03-23T00:00:00"/>
    <d v="2025-03-26T00:00:00"/>
    <s v="F"/>
    <x v="4"/>
    <x v="2"/>
    <x v="0"/>
    <x v="3"/>
    <x v="2"/>
    <x v="12"/>
    <x v="2"/>
  </r>
  <r>
    <s v="TX502224"/>
    <x v="8"/>
    <x v="9"/>
    <n v="34.700000000000003"/>
    <n v="173.5"/>
    <d v="2025-03-23T00:00:00"/>
    <d v="2025-03-24T00:00:00"/>
    <s v="F"/>
    <x v="0"/>
    <x v="2"/>
    <x v="0"/>
    <x v="3"/>
    <x v="3"/>
    <x v="12"/>
    <x v="2"/>
  </r>
  <r>
    <s v="TX502225"/>
    <x v="8"/>
    <x v="2"/>
    <n v="26.1"/>
    <n v="78.300000000000011"/>
    <d v="2025-03-23T00:00:00"/>
    <d v="2025-03-24T00:00:00"/>
    <s v="F"/>
    <x v="0"/>
    <x v="0"/>
    <x v="0"/>
    <x v="3"/>
    <x v="3"/>
    <x v="12"/>
    <x v="2"/>
  </r>
  <r>
    <s v="TX502226"/>
    <x v="9"/>
    <x v="9"/>
    <n v="22.6"/>
    <n v="113"/>
    <d v="2025-03-23T00:00:00"/>
    <d v="2025-03-23T00:00:00"/>
    <s v="F"/>
    <x v="1"/>
    <x v="2"/>
    <x v="0"/>
    <x v="3"/>
    <x v="7"/>
    <x v="12"/>
    <x v="2"/>
  </r>
  <r>
    <s v="TX502227"/>
    <x v="2"/>
    <x v="1"/>
    <n v="154.4"/>
    <n v="308.8"/>
    <d v="2025-03-23T00:00:00"/>
    <d v="2025-03-26T00:00:00"/>
    <s v="M"/>
    <x v="1"/>
    <x v="1"/>
    <x v="0"/>
    <x v="3"/>
    <x v="2"/>
    <x v="12"/>
    <x v="1"/>
  </r>
  <r>
    <s v="TX502228"/>
    <x v="8"/>
    <x v="1"/>
    <n v="18.399999999999999"/>
    <n v="36.799999999999997"/>
    <d v="2025-03-23T00:00:00"/>
    <d v="2025-03-24T00:00:00"/>
    <s v="M"/>
    <x v="0"/>
    <x v="0"/>
    <x v="0"/>
    <x v="3"/>
    <x v="3"/>
    <x v="12"/>
    <x v="1"/>
  </r>
  <r>
    <s v="TX502229"/>
    <x v="14"/>
    <x v="0"/>
    <n v="25"/>
    <n v="25"/>
    <d v="2025-03-23T00:00:00"/>
    <d v="2025-03-26T00:00:00"/>
    <s v="F"/>
    <x v="0"/>
    <x v="0"/>
    <x v="0"/>
    <x v="3"/>
    <x v="2"/>
    <x v="12"/>
    <x v="2"/>
  </r>
  <r>
    <s v="TX502230"/>
    <x v="2"/>
    <x v="13"/>
    <n v="105.6"/>
    <n v="633.59999999999991"/>
    <d v="2025-03-23T00:00:00"/>
    <d v="2025-03-23T00:00:00"/>
    <s v="F"/>
    <x v="0"/>
    <x v="0"/>
    <x v="0"/>
    <x v="3"/>
    <x v="7"/>
    <x v="12"/>
    <x v="2"/>
  </r>
  <r>
    <s v="TX502231"/>
    <x v="18"/>
    <x v="8"/>
    <n v="59.6"/>
    <n v="476.8"/>
    <d v="2025-03-23T00:00:00"/>
    <d v="2025-03-23T00:00:00"/>
    <s v="F"/>
    <x v="0"/>
    <x v="2"/>
    <x v="0"/>
    <x v="23"/>
    <x v="7"/>
    <x v="12"/>
    <x v="2"/>
  </r>
  <r>
    <s v="TX502232"/>
    <x v="15"/>
    <x v="2"/>
    <n v="75.400000000000006"/>
    <n v="226.20000000000002"/>
    <d v="2025-03-23T00:00:00"/>
    <d v="2025-03-28T00:00:00"/>
    <s v="M"/>
    <x v="0"/>
    <x v="1"/>
    <x v="0"/>
    <x v="7"/>
    <x v="0"/>
    <x v="12"/>
    <x v="1"/>
  </r>
  <r>
    <s v="TX502233"/>
    <x v="7"/>
    <x v="0"/>
    <n v="104.4"/>
    <n v="104.4"/>
    <d v="2025-03-23T00:00:00"/>
    <d v="2025-03-24T00:00:00"/>
    <s v="F"/>
    <x v="0"/>
    <x v="0"/>
    <x v="0"/>
    <x v="8"/>
    <x v="3"/>
    <x v="12"/>
    <x v="2"/>
  </r>
  <r>
    <s v="TX502234"/>
    <x v="2"/>
    <x v="7"/>
    <n v="208.2"/>
    <n v="2082"/>
    <d v="2025-03-23T00:00:00"/>
    <d v="2025-03-24T00:00:00"/>
    <s v="M"/>
    <x v="0"/>
    <x v="2"/>
    <x v="0"/>
    <x v="8"/>
    <x v="3"/>
    <x v="12"/>
    <x v="1"/>
  </r>
  <r>
    <s v="TX502235"/>
    <x v="6"/>
    <x v="1"/>
    <n v="45"/>
    <n v="90"/>
    <d v="2025-03-23T00:00:00"/>
    <d v="2025-03-26T00:00:00"/>
    <s v="F"/>
    <x v="0"/>
    <x v="0"/>
    <x v="0"/>
    <x v="10"/>
    <x v="2"/>
    <x v="12"/>
    <x v="2"/>
  </r>
  <r>
    <s v="TX502236"/>
    <x v="15"/>
    <x v="1"/>
    <n v="20.3"/>
    <n v="40.6"/>
    <d v="2025-03-24T00:00:00"/>
    <d v="2025-03-26T00:00:00"/>
    <s v=""/>
    <x v="1"/>
    <x v="0"/>
    <x v="0"/>
    <x v="11"/>
    <x v="1"/>
    <x v="12"/>
    <x v="0"/>
  </r>
  <r>
    <s v="TX502237"/>
    <x v="2"/>
    <x v="2"/>
    <n v="94.4"/>
    <n v="283.20000000000005"/>
    <d v="2025-03-24T00:00:00"/>
    <d v="2025-03-25T00:00:00"/>
    <s v="F"/>
    <x v="0"/>
    <x v="2"/>
    <x v="0"/>
    <x v="11"/>
    <x v="3"/>
    <x v="12"/>
    <x v="2"/>
  </r>
  <r>
    <s v="TX502238"/>
    <x v="9"/>
    <x v="0"/>
    <n v="49"/>
    <n v="49"/>
    <d v="2025-03-24T00:00:00"/>
    <d v="2025-03-26T00:00:00"/>
    <s v="F"/>
    <x v="0"/>
    <x v="2"/>
    <x v="0"/>
    <x v="20"/>
    <x v="1"/>
    <x v="12"/>
    <x v="2"/>
  </r>
  <r>
    <s v="TX502239"/>
    <x v="4"/>
    <x v="1"/>
    <n v="27.2"/>
    <n v="54.4"/>
    <d v="2025-03-24T00:00:00"/>
    <d v="2025-03-26T00:00:00"/>
    <s v="M"/>
    <x v="0"/>
    <x v="2"/>
    <x v="0"/>
    <x v="1"/>
    <x v="1"/>
    <x v="12"/>
    <x v="1"/>
  </r>
  <r>
    <s v="TX502240"/>
    <x v="2"/>
    <x v="13"/>
    <n v="72.599999999999994"/>
    <n v="435.59999999999997"/>
    <d v="2025-03-24T00:00:00"/>
    <d v="2025-03-25T00:00:00"/>
    <s v="F"/>
    <x v="0"/>
    <x v="2"/>
    <x v="0"/>
    <x v="2"/>
    <x v="3"/>
    <x v="12"/>
    <x v="2"/>
  </r>
  <r>
    <s v="TX502241"/>
    <x v="15"/>
    <x v="12"/>
    <n v="62.4"/>
    <n v="249.6"/>
    <d v="2025-03-24T00:00:00"/>
    <d v="2025-03-25T00:00:00"/>
    <s v="F"/>
    <x v="0"/>
    <x v="0"/>
    <x v="0"/>
    <x v="3"/>
    <x v="3"/>
    <x v="12"/>
    <x v="2"/>
  </r>
  <r>
    <s v="TX502242"/>
    <x v="8"/>
    <x v="2"/>
    <n v="19.100000000000001"/>
    <n v="57.300000000000004"/>
    <d v="2025-03-24T00:00:00"/>
    <d v="2025-03-26T00:00:00"/>
    <s v="M"/>
    <x v="0"/>
    <x v="1"/>
    <x v="0"/>
    <x v="3"/>
    <x v="1"/>
    <x v="12"/>
    <x v="1"/>
  </r>
  <r>
    <s v="TX502243"/>
    <x v="10"/>
    <x v="0"/>
    <n v="29.6"/>
    <n v="29.6"/>
    <d v="2025-03-24T00:00:00"/>
    <d v="2025-03-28T00:00:00"/>
    <s v="M"/>
    <x v="0"/>
    <x v="4"/>
    <x v="0"/>
    <x v="3"/>
    <x v="5"/>
    <x v="12"/>
    <x v="1"/>
  </r>
  <r>
    <s v="TX502244"/>
    <x v="8"/>
    <x v="1"/>
    <n v="18.899999999999999"/>
    <n v="37.799999999999997"/>
    <d v="2025-03-24T00:00:00"/>
    <d v="2025-03-26T00:00:00"/>
    <s v="F"/>
    <x v="4"/>
    <x v="2"/>
    <x v="0"/>
    <x v="3"/>
    <x v="1"/>
    <x v="12"/>
    <x v="2"/>
  </r>
  <r>
    <s v="TX502245"/>
    <x v="10"/>
    <x v="9"/>
    <n v="41.4"/>
    <n v="207"/>
    <d v="2025-03-24T00:00:00"/>
    <d v="2025-03-25T00:00:00"/>
    <s v="M"/>
    <x v="3"/>
    <x v="0"/>
    <x v="0"/>
    <x v="3"/>
    <x v="3"/>
    <x v="12"/>
    <x v="1"/>
  </r>
  <r>
    <s v="TX502246"/>
    <x v="2"/>
    <x v="0"/>
    <n v="118.4"/>
    <n v="118.4"/>
    <d v="2025-03-24T00:00:00"/>
    <d v="2025-03-25T00:00:00"/>
    <s v="F"/>
    <x v="0"/>
    <x v="2"/>
    <x v="0"/>
    <x v="3"/>
    <x v="3"/>
    <x v="12"/>
    <x v="2"/>
  </r>
  <r>
    <s v="TX502247"/>
    <x v="2"/>
    <x v="1"/>
    <n v="125.3"/>
    <n v="250.6"/>
    <d v="2025-03-24T00:00:00"/>
    <d v="2025-03-27T00:00:00"/>
    <s v="F"/>
    <x v="0"/>
    <x v="2"/>
    <x v="0"/>
    <x v="3"/>
    <x v="2"/>
    <x v="12"/>
    <x v="2"/>
  </r>
  <r>
    <s v="TX502248"/>
    <x v="3"/>
    <x v="1"/>
    <n v="85.8"/>
    <n v="171.6"/>
    <d v="2025-03-24T00:00:00"/>
    <d v="2025-03-25T00:00:00"/>
    <s v="F"/>
    <x v="1"/>
    <x v="4"/>
    <x v="0"/>
    <x v="3"/>
    <x v="3"/>
    <x v="12"/>
    <x v="2"/>
  </r>
  <r>
    <s v="TX502249"/>
    <x v="6"/>
    <x v="0"/>
    <n v="44.2"/>
    <n v="44.2"/>
    <d v="2025-03-24T00:00:00"/>
    <d v="2025-03-27T00:00:00"/>
    <s v="M"/>
    <x v="1"/>
    <x v="0"/>
    <x v="0"/>
    <x v="3"/>
    <x v="2"/>
    <x v="12"/>
    <x v="1"/>
  </r>
  <r>
    <s v="TX502250"/>
    <x v="5"/>
    <x v="12"/>
    <n v="74.099999999999994"/>
    <n v="296.39999999999998"/>
    <d v="2025-03-24T00:00:00"/>
    <d v="2025-03-26T00:00:00"/>
    <s v="F"/>
    <x v="0"/>
    <x v="0"/>
    <x v="0"/>
    <x v="3"/>
    <x v="1"/>
    <x v="12"/>
    <x v="2"/>
  </r>
  <r>
    <s v="TX502251"/>
    <x v="8"/>
    <x v="0"/>
    <n v="33.799999999999997"/>
    <n v="33.799999999999997"/>
    <d v="2025-03-24T00:00:00"/>
    <d v="2025-03-25T00:00:00"/>
    <s v="F"/>
    <x v="2"/>
    <x v="2"/>
    <x v="0"/>
    <x v="24"/>
    <x v="3"/>
    <x v="12"/>
    <x v="2"/>
  </r>
  <r>
    <s v="TX502252"/>
    <x v="1"/>
    <x v="1"/>
    <n v="39.1"/>
    <n v="78.2"/>
    <d v="2025-03-24T00:00:00"/>
    <d v="2025-03-25T00:00:00"/>
    <s v="M"/>
    <x v="0"/>
    <x v="1"/>
    <x v="0"/>
    <x v="24"/>
    <x v="3"/>
    <x v="12"/>
    <x v="1"/>
  </r>
  <r>
    <s v="TX502253"/>
    <x v="0"/>
    <x v="0"/>
    <n v="37.200000000000003"/>
    <n v="37.200000000000003"/>
    <d v="2025-03-24T00:00:00"/>
    <d v="2025-03-25T00:00:00"/>
    <s v="M"/>
    <x v="0"/>
    <x v="1"/>
    <x v="0"/>
    <x v="16"/>
    <x v="3"/>
    <x v="12"/>
    <x v="1"/>
  </r>
  <r>
    <s v="TX502254"/>
    <x v="15"/>
    <x v="2"/>
    <n v="33.9"/>
    <n v="101.69999999999999"/>
    <d v="2025-03-24T00:00:00"/>
    <d v="2025-03-26T00:00:00"/>
    <s v="M"/>
    <x v="2"/>
    <x v="0"/>
    <x v="0"/>
    <x v="6"/>
    <x v="1"/>
    <x v="12"/>
    <x v="1"/>
  </r>
  <r>
    <s v="TX502255"/>
    <x v="7"/>
    <x v="20"/>
    <n v="73.3"/>
    <n v="1099.5"/>
    <d v="2025-03-24T00:00:00"/>
    <d v="2025-03-27T00:00:00"/>
    <s v="F"/>
    <x v="2"/>
    <x v="1"/>
    <x v="0"/>
    <x v="8"/>
    <x v="2"/>
    <x v="12"/>
    <x v="2"/>
  </r>
  <r>
    <s v="TX502256"/>
    <x v="8"/>
    <x v="12"/>
    <n v="35"/>
    <n v="140"/>
    <d v="2025-03-24T00:00:00"/>
    <d v="2025-03-26T00:00:00"/>
    <s v="F"/>
    <x v="1"/>
    <x v="0"/>
    <x v="0"/>
    <x v="8"/>
    <x v="1"/>
    <x v="12"/>
    <x v="2"/>
  </r>
  <r>
    <s v="TX502257"/>
    <x v="0"/>
    <x v="2"/>
    <n v="22.2"/>
    <n v="66.599999999999994"/>
    <d v="2025-03-24T00:00:00"/>
    <d v="2025-03-25T00:00:00"/>
    <s v="M"/>
    <x v="1"/>
    <x v="0"/>
    <x v="0"/>
    <x v="17"/>
    <x v="3"/>
    <x v="12"/>
    <x v="1"/>
  </r>
  <r>
    <s v="TX502258"/>
    <x v="10"/>
    <x v="0"/>
    <n v="32.4"/>
    <n v="32.4"/>
    <d v="2025-03-24T00:00:00"/>
    <d v="2025-03-25T00:00:00"/>
    <s v="F"/>
    <x v="0"/>
    <x v="0"/>
    <x v="0"/>
    <x v="11"/>
    <x v="3"/>
    <x v="12"/>
    <x v="2"/>
  </r>
  <r>
    <s v="TX502259"/>
    <x v="5"/>
    <x v="2"/>
    <n v="88.4"/>
    <n v="265.20000000000005"/>
    <d v="2025-03-25T00:00:00"/>
    <d v="2025-03-27T00:00:00"/>
    <s v="F"/>
    <x v="1"/>
    <x v="1"/>
    <x v="0"/>
    <x v="11"/>
    <x v="1"/>
    <x v="12"/>
    <x v="2"/>
  </r>
  <r>
    <s v="TX502260"/>
    <x v="5"/>
    <x v="27"/>
    <n v="30.5"/>
    <n v="488"/>
    <d v="2025-03-25T00:00:00"/>
    <d v="2025-03-26T00:00:00"/>
    <s v="F"/>
    <x v="2"/>
    <x v="0"/>
    <x v="0"/>
    <x v="11"/>
    <x v="3"/>
    <x v="12"/>
    <x v="2"/>
  </r>
  <r>
    <s v="TX502261"/>
    <x v="1"/>
    <x v="13"/>
    <n v="38.1"/>
    <n v="228.60000000000002"/>
    <d v="2025-03-25T00:00:00"/>
    <d v="2025-03-27T00:00:00"/>
    <s v="F"/>
    <x v="0"/>
    <x v="1"/>
    <x v="0"/>
    <x v="11"/>
    <x v="1"/>
    <x v="12"/>
    <x v="2"/>
  </r>
  <r>
    <s v="TX502262"/>
    <x v="10"/>
    <x v="9"/>
    <n v="37.6"/>
    <n v="188"/>
    <d v="2025-03-25T00:00:00"/>
    <d v="2025-03-29T00:00:00"/>
    <s v="M"/>
    <x v="0"/>
    <x v="0"/>
    <x v="0"/>
    <x v="11"/>
    <x v="5"/>
    <x v="12"/>
    <x v="1"/>
  </r>
  <r>
    <s v="TX502263"/>
    <x v="15"/>
    <x v="1"/>
    <n v="31.4"/>
    <n v="62.8"/>
    <d v="2025-03-25T00:00:00"/>
    <d v="2025-03-26T00:00:00"/>
    <s v="M"/>
    <x v="0"/>
    <x v="2"/>
    <x v="0"/>
    <x v="11"/>
    <x v="3"/>
    <x v="12"/>
    <x v="1"/>
  </r>
  <r>
    <s v="TX502264"/>
    <x v="6"/>
    <x v="1"/>
    <n v="61.5"/>
    <n v="123"/>
    <d v="2025-03-25T00:00:00"/>
    <d v="2025-03-26T00:00:00"/>
    <s v="M"/>
    <x v="3"/>
    <x v="0"/>
    <x v="0"/>
    <x v="31"/>
    <x v="3"/>
    <x v="12"/>
    <x v="1"/>
  </r>
  <r>
    <s v="TX502265"/>
    <x v="6"/>
    <x v="0"/>
    <n v="72.599999999999994"/>
    <n v="72.599999999999994"/>
    <d v="2025-03-25T00:00:00"/>
    <d v="2025-03-26T00:00:00"/>
    <s v="M"/>
    <x v="0"/>
    <x v="1"/>
    <x v="0"/>
    <x v="21"/>
    <x v="3"/>
    <x v="12"/>
    <x v="1"/>
  </r>
  <r>
    <s v="TX502266"/>
    <x v="9"/>
    <x v="2"/>
    <n v="26.9"/>
    <n v="80.699999999999989"/>
    <d v="2025-03-25T00:00:00"/>
    <d v="2025-03-30T00:00:00"/>
    <s v="O"/>
    <x v="4"/>
    <x v="1"/>
    <x v="0"/>
    <x v="46"/>
    <x v="0"/>
    <x v="12"/>
    <x v="3"/>
  </r>
  <r>
    <s v="TX502267"/>
    <x v="17"/>
    <x v="4"/>
    <n v="29.4"/>
    <n v="352.79999999999995"/>
    <d v="2025-03-25T00:00:00"/>
    <d v="2025-03-26T00:00:00"/>
    <s v="F"/>
    <x v="1"/>
    <x v="0"/>
    <x v="0"/>
    <x v="51"/>
    <x v="3"/>
    <x v="12"/>
    <x v="2"/>
  </r>
  <r>
    <s v="TX502268"/>
    <x v="17"/>
    <x v="1"/>
    <n v="42.1"/>
    <n v="84.2"/>
    <d v="2025-03-25T00:00:00"/>
    <d v="2025-03-26T00:00:00"/>
    <s v="F"/>
    <x v="3"/>
    <x v="1"/>
    <x v="0"/>
    <x v="1"/>
    <x v="3"/>
    <x v="12"/>
    <x v="2"/>
  </r>
  <r>
    <s v="TX502269"/>
    <x v="5"/>
    <x v="0"/>
    <n v="40.5"/>
    <n v="40.5"/>
    <d v="2025-03-25T00:00:00"/>
    <d v="2025-03-26T00:00:00"/>
    <s v="F"/>
    <x v="2"/>
    <x v="1"/>
    <x v="0"/>
    <x v="1"/>
    <x v="3"/>
    <x v="12"/>
    <x v="2"/>
  </r>
  <r>
    <s v="TX502270"/>
    <x v="2"/>
    <x v="12"/>
    <n v="182.3"/>
    <n v="729.2"/>
    <d v="2025-03-25T00:00:00"/>
    <d v="2025-03-26T00:00:00"/>
    <s v="F"/>
    <x v="1"/>
    <x v="0"/>
    <x v="0"/>
    <x v="1"/>
    <x v="3"/>
    <x v="12"/>
    <x v="2"/>
  </r>
  <r>
    <s v="TX502271"/>
    <x v="2"/>
    <x v="9"/>
    <n v="157"/>
    <n v="785"/>
    <d v="2025-03-25T00:00:00"/>
    <d v="2025-03-28T00:00:00"/>
    <s v="F"/>
    <x v="1"/>
    <x v="2"/>
    <x v="0"/>
    <x v="2"/>
    <x v="2"/>
    <x v="12"/>
    <x v="2"/>
  </r>
  <r>
    <s v="TX502272"/>
    <x v="17"/>
    <x v="9"/>
    <n v="45.2"/>
    <n v="226"/>
    <d v="2025-03-25T00:00:00"/>
    <d v="2025-03-28T00:00:00"/>
    <s v="F"/>
    <x v="1"/>
    <x v="0"/>
    <x v="0"/>
    <x v="22"/>
    <x v="2"/>
    <x v="12"/>
    <x v="2"/>
  </r>
  <r>
    <s v="TX502273"/>
    <x v="15"/>
    <x v="12"/>
    <n v="27.4"/>
    <n v="109.6"/>
    <d v="2025-03-25T00:00:00"/>
    <d v="2025-03-27T00:00:00"/>
    <s v="F"/>
    <x v="0"/>
    <x v="0"/>
    <x v="0"/>
    <x v="3"/>
    <x v="1"/>
    <x v="12"/>
    <x v="2"/>
  </r>
  <r>
    <s v="TX502274"/>
    <x v="5"/>
    <x v="9"/>
    <n v="34.1"/>
    <n v="170.5"/>
    <d v="2025-03-25T00:00:00"/>
    <d v="2025-03-27T00:00:00"/>
    <s v="M"/>
    <x v="0"/>
    <x v="2"/>
    <x v="0"/>
    <x v="3"/>
    <x v="1"/>
    <x v="12"/>
    <x v="1"/>
  </r>
  <r>
    <s v="TX502275"/>
    <x v="0"/>
    <x v="1"/>
    <n v="26"/>
    <n v="52"/>
    <d v="2025-03-25T00:00:00"/>
    <d v="2025-03-27T00:00:00"/>
    <s v="M"/>
    <x v="2"/>
    <x v="1"/>
    <x v="0"/>
    <x v="3"/>
    <x v="1"/>
    <x v="12"/>
    <x v="1"/>
  </r>
  <r>
    <s v="TX502276"/>
    <x v="8"/>
    <x v="3"/>
    <n v="19.399999999999999"/>
    <n v="135.79999999999998"/>
    <d v="2025-03-25T00:00:00"/>
    <d v="2025-03-27T00:00:00"/>
    <s v=""/>
    <x v="1"/>
    <x v="1"/>
    <x v="0"/>
    <x v="3"/>
    <x v="1"/>
    <x v="12"/>
    <x v="0"/>
  </r>
  <r>
    <s v="TX502277"/>
    <x v="16"/>
    <x v="2"/>
    <n v="30.3"/>
    <n v="90.9"/>
    <d v="2025-03-25T00:00:00"/>
    <d v="2025-03-28T00:00:00"/>
    <s v="F"/>
    <x v="1"/>
    <x v="2"/>
    <x v="0"/>
    <x v="3"/>
    <x v="2"/>
    <x v="12"/>
    <x v="2"/>
  </r>
  <r>
    <s v="TX502278"/>
    <x v="2"/>
    <x v="2"/>
    <n v="101.4"/>
    <n v="304.20000000000005"/>
    <d v="2025-03-25T00:00:00"/>
    <d v="2025-03-26T00:00:00"/>
    <s v="M"/>
    <x v="0"/>
    <x v="0"/>
    <x v="0"/>
    <x v="3"/>
    <x v="3"/>
    <x v="12"/>
    <x v="1"/>
  </r>
  <r>
    <s v="TX502279"/>
    <x v="3"/>
    <x v="9"/>
    <n v="55.5"/>
    <n v="277.5"/>
    <d v="2025-03-25T00:00:00"/>
    <d v="2025-03-28T00:00:00"/>
    <s v="M"/>
    <x v="1"/>
    <x v="0"/>
    <x v="0"/>
    <x v="24"/>
    <x v="2"/>
    <x v="12"/>
    <x v="1"/>
  </r>
  <r>
    <s v="TX502280"/>
    <x v="8"/>
    <x v="0"/>
    <n v="23.1"/>
    <n v="23.1"/>
    <d v="2025-03-25T00:00:00"/>
    <d v="2025-03-26T00:00:00"/>
    <s v="M"/>
    <x v="0"/>
    <x v="0"/>
    <x v="0"/>
    <x v="25"/>
    <x v="3"/>
    <x v="12"/>
    <x v="1"/>
  </r>
  <r>
    <s v="TX502281"/>
    <x v="18"/>
    <x v="1"/>
    <n v="38.9"/>
    <n v="77.8"/>
    <d v="2025-03-25T00:00:00"/>
    <d v="2025-03-26T00:00:00"/>
    <s v="M"/>
    <x v="2"/>
    <x v="0"/>
    <x v="0"/>
    <x v="25"/>
    <x v="3"/>
    <x v="12"/>
    <x v="1"/>
  </r>
  <r>
    <s v="TX502282"/>
    <x v="6"/>
    <x v="11"/>
    <n v="116.3"/>
    <n v="1046.7"/>
    <d v="2025-03-25T00:00:00"/>
    <d v="2025-03-29T00:00:00"/>
    <s v="F"/>
    <x v="0"/>
    <x v="0"/>
    <x v="0"/>
    <x v="5"/>
    <x v="5"/>
    <x v="12"/>
    <x v="2"/>
  </r>
  <r>
    <s v="TX502283"/>
    <x v="16"/>
    <x v="11"/>
    <n v="64.099999999999994"/>
    <n v="576.9"/>
    <d v="2025-03-25T00:00:00"/>
    <d v="2025-03-25T00:00:00"/>
    <s v="F"/>
    <x v="0"/>
    <x v="2"/>
    <x v="0"/>
    <x v="6"/>
    <x v="7"/>
    <x v="12"/>
    <x v="2"/>
  </r>
  <r>
    <s v="TX502284"/>
    <x v="2"/>
    <x v="13"/>
    <n v="109.2"/>
    <n v="655.20000000000005"/>
    <d v="2025-03-25T00:00:00"/>
    <d v="2025-03-27T00:00:00"/>
    <s v="M"/>
    <x v="0"/>
    <x v="1"/>
    <x v="0"/>
    <x v="8"/>
    <x v="1"/>
    <x v="12"/>
    <x v="1"/>
  </r>
  <r>
    <s v="TX502285"/>
    <x v="10"/>
    <x v="9"/>
    <n v="23.2"/>
    <n v="116"/>
    <d v="2025-03-26T00:00:00"/>
    <d v="2025-03-27T00:00:00"/>
    <s v="M"/>
    <x v="0"/>
    <x v="1"/>
    <x v="0"/>
    <x v="8"/>
    <x v="3"/>
    <x v="12"/>
    <x v="1"/>
  </r>
  <r>
    <s v="TX502286"/>
    <x v="18"/>
    <x v="13"/>
    <n v="81.2"/>
    <n v="487.20000000000005"/>
    <d v="2025-03-26T00:00:00"/>
    <d v="2025-03-28T00:00:00"/>
    <s v="M"/>
    <x v="2"/>
    <x v="2"/>
    <x v="0"/>
    <x v="8"/>
    <x v="1"/>
    <x v="12"/>
    <x v="1"/>
  </r>
  <r>
    <s v="TX502287"/>
    <x v="1"/>
    <x v="21"/>
    <n v="35.700000000000003"/>
    <n v="499.80000000000007"/>
    <d v="2025-03-26T00:00:00"/>
    <d v="2025-03-27T00:00:00"/>
    <s v="M"/>
    <x v="3"/>
    <x v="0"/>
    <x v="0"/>
    <x v="8"/>
    <x v="3"/>
    <x v="12"/>
    <x v="1"/>
  </r>
  <r>
    <s v="TX502288"/>
    <x v="7"/>
    <x v="1"/>
    <n v="44.5"/>
    <n v="89"/>
    <d v="2025-03-26T00:00:00"/>
    <d v="2025-03-29T00:00:00"/>
    <s v="M"/>
    <x v="4"/>
    <x v="0"/>
    <x v="0"/>
    <x v="9"/>
    <x v="2"/>
    <x v="12"/>
    <x v="1"/>
  </r>
  <r>
    <s v="TX502289"/>
    <x v="1"/>
    <x v="9"/>
    <n v="32"/>
    <n v="160"/>
    <d v="2025-03-26T00:00:00"/>
    <d v="2025-03-28T00:00:00"/>
    <s v="O"/>
    <x v="1"/>
    <x v="1"/>
    <x v="0"/>
    <x v="9"/>
    <x v="1"/>
    <x v="12"/>
    <x v="3"/>
  </r>
  <r>
    <s v="TX502290"/>
    <x v="8"/>
    <x v="0"/>
    <n v="25.7"/>
    <n v="25.7"/>
    <d v="2025-03-26T00:00:00"/>
    <d v="2025-03-27T00:00:00"/>
    <s v="M"/>
    <x v="0"/>
    <x v="0"/>
    <x v="0"/>
    <x v="10"/>
    <x v="3"/>
    <x v="12"/>
    <x v="1"/>
  </r>
  <r>
    <s v="TX502291"/>
    <x v="16"/>
    <x v="2"/>
    <n v="65.599999999999994"/>
    <n v="196.79999999999998"/>
    <d v="2025-03-26T00:00:00"/>
    <d v="2025-04-01T00:00:00"/>
    <s v="M"/>
    <x v="0"/>
    <x v="0"/>
    <x v="0"/>
    <x v="11"/>
    <x v="4"/>
    <x v="12"/>
    <x v="1"/>
  </r>
  <r>
    <s v="TX502292"/>
    <x v="1"/>
    <x v="12"/>
    <n v="52.1"/>
    <n v="208.4"/>
    <d v="2025-03-26T00:00:00"/>
    <d v="2025-03-27T00:00:00"/>
    <s v="F"/>
    <x v="0"/>
    <x v="2"/>
    <x v="0"/>
    <x v="11"/>
    <x v="3"/>
    <x v="12"/>
    <x v="2"/>
  </r>
  <r>
    <s v="TX502293"/>
    <x v="8"/>
    <x v="0"/>
    <n v="31"/>
    <n v="31"/>
    <d v="2025-03-26T00:00:00"/>
    <d v="2025-03-27T00:00:00"/>
    <s v="M"/>
    <x v="0"/>
    <x v="1"/>
    <x v="0"/>
    <x v="19"/>
    <x v="3"/>
    <x v="12"/>
    <x v="1"/>
  </r>
  <r>
    <s v="TX502294"/>
    <x v="8"/>
    <x v="0"/>
    <n v="32"/>
    <n v="32"/>
    <d v="2025-03-26T00:00:00"/>
    <d v="2025-03-28T00:00:00"/>
    <s v="O"/>
    <x v="3"/>
    <x v="1"/>
    <x v="0"/>
    <x v="31"/>
    <x v="1"/>
    <x v="12"/>
    <x v="3"/>
  </r>
  <r>
    <s v="TX502295"/>
    <x v="16"/>
    <x v="12"/>
    <n v="58.3"/>
    <n v="233.2"/>
    <d v="2025-03-26T00:00:00"/>
    <d v="2025-03-30T00:00:00"/>
    <s v="M"/>
    <x v="1"/>
    <x v="4"/>
    <x v="0"/>
    <x v="20"/>
    <x v="5"/>
    <x v="12"/>
    <x v="1"/>
  </r>
  <r>
    <s v="TX502296"/>
    <x v="8"/>
    <x v="2"/>
    <n v="31"/>
    <n v="93"/>
    <d v="2025-03-26T00:00:00"/>
    <d v="2025-03-28T00:00:00"/>
    <s v="F"/>
    <x v="2"/>
    <x v="4"/>
    <x v="0"/>
    <x v="13"/>
    <x v="1"/>
    <x v="12"/>
    <x v="2"/>
  </r>
  <r>
    <s v="TX502297"/>
    <x v="3"/>
    <x v="0"/>
    <n v="40.299999999999997"/>
    <n v="40.299999999999997"/>
    <d v="2025-03-26T00:00:00"/>
    <d v="2025-03-27T00:00:00"/>
    <s v="M"/>
    <x v="1"/>
    <x v="2"/>
    <x v="0"/>
    <x v="54"/>
    <x v="3"/>
    <x v="12"/>
    <x v="1"/>
  </r>
  <r>
    <s v="TX502298"/>
    <x v="6"/>
    <x v="2"/>
    <n v="47.3"/>
    <n v="141.89999999999998"/>
    <d v="2025-03-26T00:00:00"/>
    <d v="2025-03-28T00:00:00"/>
    <s v="M"/>
    <x v="4"/>
    <x v="2"/>
    <x v="0"/>
    <x v="2"/>
    <x v="1"/>
    <x v="12"/>
    <x v="1"/>
  </r>
  <r>
    <s v="TX502299"/>
    <x v="2"/>
    <x v="0"/>
    <n v="82.8"/>
    <n v="82.8"/>
    <d v="2025-03-26T00:00:00"/>
    <d v="2025-03-27T00:00:00"/>
    <s v="M"/>
    <x v="0"/>
    <x v="0"/>
    <x v="0"/>
    <x v="2"/>
    <x v="3"/>
    <x v="12"/>
    <x v="1"/>
  </r>
  <r>
    <s v="TX502300"/>
    <x v="8"/>
    <x v="0"/>
    <n v="18.5"/>
    <n v="18.5"/>
    <d v="2025-03-26T00:00:00"/>
    <d v="2025-04-09T00:00:00"/>
    <s v="F"/>
    <x v="0"/>
    <x v="0"/>
    <x v="0"/>
    <x v="44"/>
    <x v="12"/>
    <x v="12"/>
    <x v="2"/>
  </r>
  <r>
    <s v="TX502301"/>
    <x v="3"/>
    <x v="1"/>
    <n v="60.4"/>
    <n v="120.8"/>
    <d v="2025-03-26T00:00:00"/>
    <d v="2025-03-27T00:00:00"/>
    <s v="M"/>
    <x v="2"/>
    <x v="0"/>
    <x v="0"/>
    <x v="22"/>
    <x v="3"/>
    <x v="12"/>
    <x v="1"/>
  </r>
  <r>
    <s v="TX502302"/>
    <x v="6"/>
    <x v="9"/>
    <n v="80.2"/>
    <n v="401"/>
    <d v="2025-03-26T00:00:00"/>
    <d v="2025-04-02T00:00:00"/>
    <s v="M"/>
    <x v="1"/>
    <x v="1"/>
    <x v="0"/>
    <x v="50"/>
    <x v="6"/>
    <x v="12"/>
    <x v="1"/>
  </r>
  <r>
    <s v="TX502303"/>
    <x v="4"/>
    <x v="0"/>
    <n v="41.5"/>
    <n v="41.5"/>
    <d v="2025-03-26T00:00:00"/>
    <d v="2025-03-28T00:00:00"/>
    <s v="M"/>
    <x v="2"/>
    <x v="0"/>
    <x v="0"/>
    <x v="3"/>
    <x v="1"/>
    <x v="12"/>
    <x v="1"/>
  </r>
  <r>
    <s v="TX502304"/>
    <x v="2"/>
    <x v="1"/>
    <n v="83.9"/>
    <n v="167.8"/>
    <d v="2025-03-26T00:00:00"/>
    <d v="2025-03-29T00:00:00"/>
    <s v="F"/>
    <x v="0"/>
    <x v="0"/>
    <x v="0"/>
    <x v="3"/>
    <x v="2"/>
    <x v="12"/>
    <x v="2"/>
  </r>
  <r>
    <s v="TX502305"/>
    <x v="8"/>
    <x v="1"/>
    <n v="16.7"/>
    <n v="33.4"/>
    <d v="2025-03-26T00:00:00"/>
    <d v="2025-03-30T00:00:00"/>
    <s v="F"/>
    <x v="0"/>
    <x v="1"/>
    <x v="0"/>
    <x v="3"/>
    <x v="5"/>
    <x v="12"/>
    <x v="2"/>
  </r>
  <r>
    <s v="TX502306"/>
    <x v="9"/>
    <x v="1"/>
    <n v="72.900000000000006"/>
    <n v="145.80000000000001"/>
    <d v="2025-03-26T00:00:00"/>
    <d v="2025-03-27T00:00:00"/>
    <s v="M"/>
    <x v="2"/>
    <x v="1"/>
    <x v="0"/>
    <x v="3"/>
    <x v="3"/>
    <x v="12"/>
    <x v="1"/>
  </r>
  <r>
    <s v="TX502307"/>
    <x v="5"/>
    <x v="1"/>
    <n v="50.2"/>
    <n v="100.4"/>
    <d v="2025-03-26T00:00:00"/>
    <d v="2025-03-28T00:00:00"/>
    <s v="F"/>
    <x v="1"/>
    <x v="2"/>
    <x v="0"/>
    <x v="3"/>
    <x v="1"/>
    <x v="12"/>
    <x v="2"/>
  </r>
  <r>
    <s v="TX502308"/>
    <x v="3"/>
    <x v="1"/>
    <n v="34.200000000000003"/>
    <n v="68.400000000000006"/>
    <d v="2025-03-26T00:00:00"/>
    <d v="2025-04-05T00:00:00"/>
    <s v=""/>
    <x v="1"/>
    <x v="0"/>
    <x v="0"/>
    <x v="3"/>
    <x v="14"/>
    <x v="12"/>
    <x v="0"/>
  </r>
  <r>
    <s v="TX502309"/>
    <x v="5"/>
    <x v="1"/>
    <n v="107.9"/>
    <n v="215.8"/>
    <d v="2025-03-26T00:00:00"/>
    <d v="2025-03-26T00:00:00"/>
    <s v="M"/>
    <x v="1"/>
    <x v="4"/>
    <x v="0"/>
    <x v="3"/>
    <x v="7"/>
    <x v="12"/>
    <x v="1"/>
  </r>
  <r>
    <s v="TX502310"/>
    <x v="0"/>
    <x v="2"/>
    <n v="17.5"/>
    <n v="52.5"/>
    <d v="2025-03-26T00:00:00"/>
    <d v="2025-03-28T00:00:00"/>
    <s v="M"/>
    <x v="4"/>
    <x v="0"/>
    <x v="0"/>
    <x v="3"/>
    <x v="1"/>
    <x v="12"/>
    <x v="1"/>
  </r>
  <r>
    <s v="TX502311"/>
    <x v="13"/>
    <x v="20"/>
    <n v="44.7"/>
    <n v="670.5"/>
    <d v="2025-03-26T00:00:00"/>
    <d v="2025-03-27T00:00:00"/>
    <s v="M"/>
    <x v="0"/>
    <x v="1"/>
    <x v="0"/>
    <x v="3"/>
    <x v="3"/>
    <x v="12"/>
    <x v="1"/>
  </r>
  <r>
    <s v="TX502312"/>
    <x v="12"/>
    <x v="13"/>
    <n v="92.7"/>
    <n v="556.20000000000005"/>
    <d v="2025-03-26T00:00:00"/>
    <d v="2025-03-28T00:00:00"/>
    <s v="F"/>
    <x v="2"/>
    <x v="1"/>
    <x v="0"/>
    <x v="3"/>
    <x v="1"/>
    <x v="12"/>
    <x v="2"/>
  </r>
  <r>
    <s v="TX502313"/>
    <x v="7"/>
    <x v="2"/>
    <n v="48.8"/>
    <n v="146.39999999999998"/>
    <d v="2025-03-26T00:00:00"/>
    <d v="2025-03-28T00:00:00"/>
    <s v="F"/>
    <x v="2"/>
    <x v="0"/>
    <x v="0"/>
    <x v="3"/>
    <x v="1"/>
    <x v="12"/>
    <x v="2"/>
  </r>
  <r>
    <s v="TX502314"/>
    <x v="4"/>
    <x v="27"/>
    <n v="21.3"/>
    <n v="340.8"/>
    <d v="2025-03-26T00:00:00"/>
    <d v="2025-03-30T00:00:00"/>
    <s v="F"/>
    <x v="3"/>
    <x v="3"/>
    <x v="0"/>
    <x v="3"/>
    <x v="5"/>
    <x v="12"/>
    <x v="2"/>
  </r>
  <r>
    <s v="TX502315"/>
    <x v="16"/>
    <x v="0"/>
    <n v="52.5"/>
    <n v="52.5"/>
    <d v="2025-03-26T00:00:00"/>
    <d v="2025-03-27T00:00:00"/>
    <s v="F"/>
    <x v="0"/>
    <x v="0"/>
    <x v="0"/>
    <x v="3"/>
    <x v="3"/>
    <x v="12"/>
    <x v="2"/>
  </r>
  <r>
    <s v="TX502316"/>
    <x v="1"/>
    <x v="1"/>
    <n v="92.4"/>
    <n v="184.8"/>
    <d v="2025-03-26T00:00:00"/>
    <d v="2025-04-01T00:00:00"/>
    <s v="F"/>
    <x v="0"/>
    <x v="2"/>
    <x v="0"/>
    <x v="3"/>
    <x v="4"/>
    <x v="12"/>
    <x v="2"/>
  </r>
  <r>
    <s v="TX502317"/>
    <x v="4"/>
    <x v="5"/>
    <n v="58.3"/>
    <n v="641.29999999999995"/>
    <d v="2025-03-26T00:00:00"/>
    <d v="2025-03-28T00:00:00"/>
    <s v="M"/>
    <x v="1"/>
    <x v="2"/>
    <x v="0"/>
    <x v="3"/>
    <x v="1"/>
    <x v="12"/>
    <x v="1"/>
  </r>
  <r>
    <s v="TX502318"/>
    <x v="6"/>
    <x v="44"/>
    <n v="152.6"/>
    <n v="3509.7999999999997"/>
    <d v="2025-03-27T00:00:00"/>
    <d v="2025-03-29T00:00:00"/>
    <s v=""/>
    <x v="0"/>
    <x v="0"/>
    <x v="0"/>
    <x v="3"/>
    <x v="1"/>
    <x v="12"/>
    <x v="0"/>
  </r>
  <r>
    <s v="TX502319"/>
    <x v="8"/>
    <x v="1"/>
    <n v="26"/>
    <n v="52"/>
    <d v="2025-03-27T00:00:00"/>
    <d v="2025-03-27T00:00:00"/>
    <s v=""/>
    <x v="0"/>
    <x v="1"/>
    <x v="0"/>
    <x v="3"/>
    <x v="7"/>
    <x v="12"/>
    <x v="0"/>
  </r>
  <r>
    <s v="TX502320"/>
    <x v="1"/>
    <x v="12"/>
    <n v="33.1"/>
    <n v="132.4"/>
    <d v="2025-03-27T00:00:00"/>
    <d v="2025-03-27T00:00:00"/>
    <s v="M"/>
    <x v="2"/>
    <x v="4"/>
    <x v="0"/>
    <x v="5"/>
    <x v="7"/>
    <x v="12"/>
    <x v="1"/>
  </r>
  <r>
    <s v="TX502321"/>
    <x v="18"/>
    <x v="0"/>
    <n v="51.4"/>
    <n v="51.4"/>
    <d v="2025-03-27T00:00:00"/>
    <d v="2025-03-29T00:00:00"/>
    <s v="F"/>
    <x v="1"/>
    <x v="1"/>
    <x v="0"/>
    <x v="5"/>
    <x v="1"/>
    <x v="12"/>
    <x v="2"/>
  </r>
  <r>
    <s v="TX502322"/>
    <x v="8"/>
    <x v="1"/>
    <n v="30.2"/>
    <n v="60.4"/>
    <d v="2025-03-27T00:00:00"/>
    <d v="2025-03-28T00:00:00"/>
    <s v="F"/>
    <x v="2"/>
    <x v="2"/>
    <x v="0"/>
    <x v="6"/>
    <x v="3"/>
    <x v="12"/>
    <x v="2"/>
  </r>
  <r>
    <s v="TX502323"/>
    <x v="2"/>
    <x v="13"/>
    <n v="97"/>
    <n v="582"/>
    <d v="2025-03-27T00:00:00"/>
    <d v="2025-03-31T00:00:00"/>
    <s v="F"/>
    <x v="0"/>
    <x v="2"/>
    <x v="0"/>
    <x v="7"/>
    <x v="5"/>
    <x v="12"/>
    <x v="2"/>
  </r>
  <r>
    <s v="TX502324"/>
    <x v="2"/>
    <x v="0"/>
    <n v="76.900000000000006"/>
    <n v="76.900000000000006"/>
    <d v="2025-03-27T00:00:00"/>
    <d v="2025-03-28T00:00:00"/>
    <s v="M"/>
    <x v="1"/>
    <x v="2"/>
    <x v="0"/>
    <x v="8"/>
    <x v="3"/>
    <x v="12"/>
    <x v="1"/>
  </r>
  <r>
    <s v="TX502325"/>
    <x v="7"/>
    <x v="13"/>
    <n v="36.1"/>
    <n v="216.60000000000002"/>
    <d v="2025-03-27T00:00:00"/>
    <d v="2025-03-31T00:00:00"/>
    <s v="F"/>
    <x v="0"/>
    <x v="0"/>
    <x v="0"/>
    <x v="8"/>
    <x v="5"/>
    <x v="12"/>
    <x v="2"/>
  </r>
  <r>
    <s v="TX502326"/>
    <x v="1"/>
    <x v="3"/>
    <n v="34.4"/>
    <n v="240.79999999999998"/>
    <d v="2025-03-27T00:00:00"/>
    <d v="2025-03-27T00:00:00"/>
    <s v="F"/>
    <x v="2"/>
    <x v="1"/>
    <x v="0"/>
    <x v="11"/>
    <x v="7"/>
    <x v="12"/>
    <x v="2"/>
  </r>
  <r>
    <s v="TX502327"/>
    <x v="1"/>
    <x v="31"/>
    <n v="53.4"/>
    <n v="1495.2"/>
    <d v="2025-03-27T00:00:00"/>
    <d v="2025-03-29T00:00:00"/>
    <s v="F"/>
    <x v="1"/>
    <x v="0"/>
    <x v="0"/>
    <x v="18"/>
    <x v="1"/>
    <x v="12"/>
    <x v="2"/>
  </r>
  <r>
    <s v="TX502328"/>
    <x v="2"/>
    <x v="0"/>
    <n v="77.599999999999994"/>
    <n v="77.599999999999994"/>
    <d v="2025-03-27T00:00:00"/>
    <d v="2025-03-28T00:00:00"/>
    <s v="F"/>
    <x v="0"/>
    <x v="1"/>
    <x v="0"/>
    <x v="19"/>
    <x v="3"/>
    <x v="12"/>
    <x v="2"/>
  </r>
  <r>
    <s v="TX502329"/>
    <x v="1"/>
    <x v="2"/>
    <n v="71.7"/>
    <n v="215.10000000000002"/>
    <d v="2025-03-27T00:00:00"/>
    <d v="2025-03-30T00:00:00"/>
    <s v="F"/>
    <x v="1"/>
    <x v="0"/>
    <x v="0"/>
    <x v="19"/>
    <x v="2"/>
    <x v="12"/>
    <x v="2"/>
  </r>
  <r>
    <s v="TX502330"/>
    <x v="3"/>
    <x v="2"/>
    <n v="80.599999999999994"/>
    <n v="241.79999999999998"/>
    <d v="2025-03-27T00:00:00"/>
    <d v="2025-03-28T00:00:00"/>
    <s v="M"/>
    <x v="4"/>
    <x v="1"/>
    <x v="0"/>
    <x v="19"/>
    <x v="3"/>
    <x v="12"/>
    <x v="1"/>
  </r>
  <r>
    <s v="TX502331"/>
    <x v="1"/>
    <x v="20"/>
    <n v="70"/>
    <n v="1050"/>
    <d v="2025-03-27T00:00:00"/>
    <d v="2025-03-29T00:00:00"/>
    <s v="M"/>
    <x v="0"/>
    <x v="0"/>
    <x v="0"/>
    <x v="20"/>
    <x v="1"/>
    <x v="12"/>
    <x v="1"/>
  </r>
  <r>
    <s v="TX502332"/>
    <x v="4"/>
    <x v="13"/>
    <n v="27.3"/>
    <n v="163.80000000000001"/>
    <d v="2025-03-27T00:00:00"/>
    <d v="2025-03-29T00:00:00"/>
    <s v="F"/>
    <x v="1"/>
    <x v="1"/>
    <x v="0"/>
    <x v="2"/>
    <x v="1"/>
    <x v="12"/>
    <x v="2"/>
  </r>
  <r>
    <s v="TX502333"/>
    <x v="8"/>
    <x v="21"/>
    <n v="37.6"/>
    <n v="526.4"/>
    <d v="2025-03-27T00:00:00"/>
    <d v="2025-03-29T00:00:00"/>
    <s v="M"/>
    <x v="1"/>
    <x v="0"/>
    <x v="0"/>
    <x v="3"/>
    <x v="1"/>
    <x v="12"/>
    <x v="1"/>
  </r>
  <r>
    <s v="TX502334"/>
    <x v="5"/>
    <x v="2"/>
    <n v="36.6"/>
    <n v="109.80000000000001"/>
    <d v="2025-03-27T00:00:00"/>
    <d v="2025-03-29T00:00:00"/>
    <s v="F"/>
    <x v="4"/>
    <x v="0"/>
    <x v="0"/>
    <x v="3"/>
    <x v="1"/>
    <x v="12"/>
    <x v="2"/>
  </r>
  <r>
    <s v="TX502335"/>
    <x v="13"/>
    <x v="0"/>
    <n v="55.2"/>
    <n v="55.2"/>
    <d v="2025-03-27T00:00:00"/>
    <d v="2025-03-29T00:00:00"/>
    <s v="M"/>
    <x v="3"/>
    <x v="0"/>
    <x v="0"/>
    <x v="3"/>
    <x v="1"/>
    <x v="12"/>
    <x v="1"/>
  </r>
  <r>
    <s v="TX502336"/>
    <x v="6"/>
    <x v="9"/>
    <n v="59.9"/>
    <n v="299.5"/>
    <d v="2025-03-27T00:00:00"/>
    <d v="2025-03-29T00:00:00"/>
    <s v="M"/>
    <x v="0"/>
    <x v="0"/>
    <x v="0"/>
    <x v="3"/>
    <x v="1"/>
    <x v="12"/>
    <x v="1"/>
  </r>
  <r>
    <s v="TX502337"/>
    <x v="6"/>
    <x v="0"/>
    <n v="44"/>
    <n v="44"/>
    <d v="2025-03-27T00:00:00"/>
    <d v="2025-03-28T00:00:00"/>
    <s v="F"/>
    <x v="2"/>
    <x v="2"/>
    <x v="0"/>
    <x v="3"/>
    <x v="3"/>
    <x v="12"/>
    <x v="2"/>
  </r>
  <r>
    <s v="TX502338"/>
    <x v="9"/>
    <x v="1"/>
    <n v="68.7"/>
    <n v="137.4"/>
    <d v="2025-03-27T00:00:00"/>
    <d v="2025-03-27T00:00:00"/>
    <s v="M"/>
    <x v="0"/>
    <x v="0"/>
    <x v="0"/>
    <x v="3"/>
    <x v="7"/>
    <x v="12"/>
    <x v="1"/>
  </r>
  <r>
    <s v="TX502339"/>
    <x v="5"/>
    <x v="1"/>
    <n v="61.6"/>
    <n v="123.2"/>
    <d v="2025-03-27T00:00:00"/>
    <d v="2025-03-31T00:00:00"/>
    <s v="M"/>
    <x v="3"/>
    <x v="1"/>
    <x v="0"/>
    <x v="3"/>
    <x v="5"/>
    <x v="12"/>
    <x v="1"/>
  </r>
  <r>
    <s v="TX502340"/>
    <x v="7"/>
    <x v="3"/>
    <n v="51.8"/>
    <n v="362.59999999999997"/>
    <d v="2025-03-27T00:00:00"/>
    <d v="2025-03-28T00:00:00"/>
    <s v="M"/>
    <x v="0"/>
    <x v="0"/>
    <x v="0"/>
    <x v="3"/>
    <x v="3"/>
    <x v="12"/>
    <x v="1"/>
  </r>
  <r>
    <s v="TX502341"/>
    <x v="8"/>
    <x v="7"/>
    <n v="46.2"/>
    <n v="462"/>
    <d v="2025-03-27T00:00:00"/>
    <d v="2025-03-29T00:00:00"/>
    <s v="M"/>
    <x v="1"/>
    <x v="2"/>
    <x v="0"/>
    <x v="3"/>
    <x v="1"/>
    <x v="12"/>
    <x v="1"/>
  </r>
  <r>
    <s v="TX502342"/>
    <x v="0"/>
    <x v="1"/>
    <n v="19.399999999999999"/>
    <n v="38.799999999999997"/>
    <d v="2025-03-27T00:00:00"/>
    <d v="2025-03-29T00:00:00"/>
    <s v="F"/>
    <x v="1"/>
    <x v="2"/>
    <x v="0"/>
    <x v="6"/>
    <x v="1"/>
    <x v="12"/>
    <x v="2"/>
  </r>
  <r>
    <s v="TX502343"/>
    <x v="11"/>
    <x v="2"/>
    <n v="52.1"/>
    <n v="156.30000000000001"/>
    <d v="2025-03-27T00:00:00"/>
    <d v="2025-03-30T00:00:00"/>
    <s v="M"/>
    <x v="3"/>
    <x v="3"/>
    <x v="0"/>
    <x v="6"/>
    <x v="2"/>
    <x v="12"/>
    <x v="1"/>
  </r>
  <r>
    <s v="TX502344"/>
    <x v="6"/>
    <x v="0"/>
    <n v="74.900000000000006"/>
    <n v="74.900000000000006"/>
    <d v="2025-03-27T00:00:00"/>
    <d v="2025-03-29T00:00:00"/>
    <s v="O"/>
    <x v="0"/>
    <x v="0"/>
    <x v="0"/>
    <x v="7"/>
    <x v="1"/>
    <x v="12"/>
    <x v="3"/>
  </r>
  <r>
    <s v="TX502345"/>
    <x v="9"/>
    <x v="3"/>
    <n v="49.6"/>
    <n v="347.2"/>
    <d v="2025-03-27T00:00:00"/>
    <d v="2025-03-30T00:00:00"/>
    <s v="F"/>
    <x v="4"/>
    <x v="0"/>
    <x v="0"/>
    <x v="8"/>
    <x v="2"/>
    <x v="12"/>
    <x v="2"/>
  </r>
  <r>
    <s v="TX502346"/>
    <x v="16"/>
    <x v="12"/>
    <n v="82.8"/>
    <n v="331.2"/>
    <d v="2025-03-28T00:00:00"/>
    <d v="2025-03-31T00:00:00"/>
    <s v="F"/>
    <x v="4"/>
    <x v="0"/>
    <x v="0"/>
    <x v="8"/>
    <x v="2"/>
    <x v="12"/>
    <x v="2"/>
  </r>
  <r>
    <s v="TX502347"/>
    <x v="2"/>
    <x v="0"/>
    <n v="97.7"/>
    <n v="97.7"/>
    <d v="2025-03-28T00:00:00"/>
    <d v="2025-03-29T00:00:00"/>
    <s v="F"/>
    <x v="1"/>
    <x v="0"/>
    <x v="0"/>
    <x v="8"/>
    <x v="3"/>
    <x v="12"/>
    <x v="2"/>
  </r>
  <r>
    <s v="TX502348"/>
    <x v="6"/>
    <x v="9"/>
    <n v="83.6"/>
    <n v="418"/>
    <d v="2025-03-28T00:00:00"/>
    <d v="2025-03-29T00:00:00"/>
    <s v="F"/>
    <x v="4"/>
    <x v="0"/>
    <x v="0"/>
    <x v="8"/>
    <x v="3"/>
    <x v="12"/>
    <x v="2"/>
  </r>
  <r>
    <s v="TX502349"/>
    <x v="8"/>
    <x v="9"/>
    <n v="23.5"/>
    <n v="117.5"/>
    <d v="2025-03-28T00:00:00"/>
    <d v="2025-04-01T00:00:00"/>
    <s v="O"/>
    <x v="0"/>
    <x v="0"/>
    <x v="0"/>
    <x v="8"/>
    <x v="5"/>
    <x v="12"/>
    <x v="3"/>
  </r>
  <r>
    <s v="TX502350"/>
    <x v="9"/>
    <x v="2"/>
    <n v="44.6"/>
    <n v="133.80000000000001"/>
    <d v="2025-03-28T00:00:00"/>
    <d v="2025-03-31T00:00:00"/>
    <s v="F"/>
    <x v="4"/>
    <x v="1"/>
    <x v="0"/>
    <x v="26"/>
    <x v="2"/>
    <x v="12"/>
    <x v="2"/>
  </r>
  <r>
    <s v="TX502351"/>
    <x v="0"/>
    <x v="2"/>
    <n v="20.100000000000001"/>
    <n v="60.300000000000004"/>
    <d v="2025-03-28T00:00:00"/>
    <d v="2025-03-30T00:00:00"/>
    <s v="F"/>
    <x v="3"/>
    <x v="4"/>
    <x v="0"/>
    <x v="11"/>
    <x v="1"/>
    <x v="12"/>
    <x v="2"/>
  </r>
  <r>
    <s v="TX502352"/>
    <x v="2"/>
    <x v="9"/>
    <n v="153.6"/>
    <n v="768"/>
    <d v="2025-03-28T00:00:00"/>
    <d v="2025-03-29T00:00:00"/>
    <s v="F"/>
    <x v="1"/>
    <x v="2"/>
    <x v="0"/>
    <x v="53"/>
    <x v="3"/>
    <x v="12"/>
    <x v="2"/>
  </r>
  <r>
    <s v="TX502353"/>
    <x v="1"/>
    <x v="1"/>
    <n v="71.8"/>
    <n v="143.6"/>
    <d v="2025-03-28T00:00:00"/>
    <d v="2025-04-01T00:00:00"/>
    <s v="F"/>
    <x v="1"/>
    <x v="0"/>
    <x v="0"/>
    <x v="1"/>
    <x v="5"/>
    <x v="12"/>
    <x v="2"/>
  </r>
  <r>
    <s v="TX502354"/>
    <x v="10"/>
    <x v="0"/>
    <n v="64.7"/>
    <n v="64.7"/>
    <d v="2025-03-28T00:00:00"/>
    <d v="2025-03-30T00:00:00"/>
    <s v=""/>
    <x v="0"/>
    <x v="1"/>
    <x v="0"/>
    <x v="1"/>
    <x v="1"/>
    <x v="12"/>
    <x v="0"/>
  </r>
  <r>
    <s v="TX502355"/>
    <x v="9"/>
    <x v="8"/>
    <n v="60.4"/>
    <n v="483.2"/>
    <d v="2025-03-28T00:00:00"/>
    <d v="2025-03-30T00:00:00"/>
    <s v="F"/>
    <x v="3"/>
    <x v="2"/>
    <x v="0"/>
    <x v="2"/>
    <x v="1"/>
    <x v="12"/>
    <x v="2"/>
  </r>
  <r>
    <s v="TX502356"/>
    <x v="6"/>
    <x v="12"/>
    <n v="86"/>
    <n v="344"/>
    <d v="2025-03-28T00:00:00"/>
    <d v="2025-03-31T00:00:00"/>
    <s v="F"/>
    <x v="2"/>
    <x v="2"/>
    <x v="0"/>
    <x v="22"/>
    <x v="2"/>
    <x v="12"/>
    <x v="2"/>
  </r>
  <r>
    <s v="TX502357"/>
    <x v="12"/>
    <x v="1"/>
    <n v="42.1"/>
    <n v="84.2"/>
    <d v="2025-03-28T00:00:00"/>
    <d v="2025-03-29T00:00:00"/>
    <s v="F"/>
    <x v="4"/>
    <x v="1"/>
    <x v="0"/>
    <x v="34"/>
    <x v="3"/>
    <x v="12"/>
    <x v="2"/>
  </r>
  <r>
    <s v="TX502358"/>
    <x v="16"/>
    <x v="11"/>
    <n v="51.1"/>
    <n v="459.90000000000003"/>
    <d v="2025-03-28T00:00:00"/>
    <d v="2025-03-29T00:00:00"/>
    <s v="M"/>
    <x v="2"/>
    <x v="1"/>
    <x v="0"/>
    <x v="3"/>
    <x v="3"/>
    <x v="12"/>
    <x v="1"/>
  </r>
  <r>
    <s v="TX502359"/>
    <x v="9"/>
    <x v="12"/>
    <n v="73.8"/>
    <n v="295.2"/>
    <d v="2025-03-28T00:00:00"/>
    <d v="2025-03-29T00:00:00"/>
    <s v="M"/>
    <x v="4"/>
    <x v="0"/>
    <x v="0"/>
    <x v="3"/>
    <x v="3"/>
    <x v="12"/>
    <x v="1"/>
  </r>
  <r>
    <s v="TX502360"/>
    <x v="8"/>
    <x v="9"/>
    <n v="27"/>
    <n v="135"/>
    <d v="2025-03-28T00:00:00"/>
    <d v="2025-03-31T00:00:00"/>
    <s v="F"/>
    <x v="2"/>
    <x v="2"/>
    <x v="0"/>
    <x v="3"/>
    <x v="2"/>
    <x v="12"/>
    <x v="2"/>
  </r>
  <r>
    <s v="TX502361"/>
    <x v="8"/>
    <x v="13"/>
    <n v="60.1"/>
    <n v="360.6"/>
    <d v="2025-03-28T00:00:00"/>
    <d v="2025-03-29T00:00:00"/>
    <s v="M"/>
    <x v="3"/>
    <x v="0"/>
    <x v="0"/>
    <x v="3"/>
    <x v="3"/>
    <x v="12"/>
    <x v="1"/>
  </r>
  <r>
    <s v="TX502362"/>
    <x v="2"/>
    <x v="3"/>
    <n v="94.1"/>
    <n v="658.69999999999993"/>
    <d v="2025-03-28T00:00:00"/>
    <d v="2025-03-30T00:00:00"/>
    <s v="F"/>
    <x v="4"/>
    <x v="1"/>
    <x v="0"/>
    <x v="3"/>
    <x v="1"/>
    <x v="12"/>
    <x v="2"/>
  </r>
  <r>
    <s v="TX502363"/>
    <x v="2"/>
    <x v="1"/>
    <n v="124.1"/>
    <n v="248.2"/>
    <d v="2025-03-28T00:00:00"/>
    <d v="2025-03-28T00:00:00"/>
    <s v="F"/>
    <x v="2"/>
    <x v="3"/>
    <x v="0"/>
    <x v="43"/>
    <x v="7"/>
    <x v="12"/>
    <x v="2"/>
  </r>
  <r>
    <s v="TX502364"/>
    <x v="8"/>
    <x v="12"/>
    <n v="16.899999999999999"/>
    <n v="67.599999999999994"/>
    <d v="2025-03-28T00:00:00"/>
    <d v="2025-03-31T00:00:00"/>
    <s v="M"/>
    <x v="3"/>
    <x v="0"/>
    <x v="0"/>
    <x v="6"/>
    <x v="2"/>
    <x v="12"/>
    <x v="1"/>
  </r>
  <r>
    <s v="TX502365"/>
    <x v="1"/>
    <x v="0"/>
    <n v="36.9"/>
    <n v="36.9"/>
    <d v="2025-03-28T00:00:00"/>
    <d v="2025-03-29T00:00:00"/>
    <s v="M"/>
    <x v="0"/>
    <x v="0"/>
    <x v="0"/>
    <x v="6"/>
    <x v="3"/>
    <x v="12"/>
    <x v="1"/>
  </r>
  <r>
    <s v="TX502366"/>
    <x v="9"/>
    <x v="1"/>
    <n v="22.6"/>
    <n v="45.2"/>
    <d v="2025-03-28T00:00:00"/>
    <d v="2025-04-10T00:00:00"/>
    <s v="F"/>
    <x v="2"/>
    <x v="1"/>
    <x v="0"/>
    <x v="8"/>
    <x v="10"/>
    <x v="12"/>
    <x v="2"/>
  </r>
  <r>
    <s v="TX502367"/>
    <x v="7"/>
    <x v="12"/>
    <n v="35"/>
    <n v="140"/>
    <d v="2025-03-28T00:00:00"/>
    <d v="2025-04-02T00:00:00"/>
    <s v="M"/>
    <x v="3"/>
    <x v="1"/>
    <x v="0"/>
    <x v="8"/>
    <x v="0"/>
    <x v="12"/>
    <x v="1"/>
  </r>
  <r>
    <s v="TX502368"/>
    <x v="9"/>
    <x v="13"/>
    <n v="63.6"/>
    <n v="381.6"/>
    <d v="2025-03-28T00:00:00"/>
    <d v="2025-04-04T00:00:00"/>
    <s v=""/>
    <x v="1"/>
    <x v="2"/>
    <x v="0"/>
    <x v="8"/>
    <x v="6"/>
    <x v="12"/>
    <x v="0"/>
  </r>
  <r>
    <s v="TX502369"/>
    <x v="15"/>
    <x v="12"/>
    <n v="78.599999999999994"/>
    <n v="314.39999999999998"/>
    <d v="2025-03-28T00:00:00"/>
    <d v="2025-03-29T00:00:00"/>
    <s v="M"/>
    <x v="4"/>
    <x v="1"/>
    <x v="0"/>
    <x v="8"/>
    <x v="3"/>
    <x v="12"/>
    <x v="1"/>
  </r>
  <r>
    <s v="TX502370"/>
    <x v="3"/>
    <x v="1"/>
    <n v="38.5"/>
    <n v="77"/>
    <d v="2025-03-28T00:00:00"/>
    <d v="2025-03-29T00:00:00"/>
    <s v="M"/>
    <x v="0"/>
    <x v="2"/>
    <x v="0"/>
    <x v="8"/>
    <x v="3"/>
    <x v="12"/>
    <x v="1"/>
  </r>
  <r>
    <s v="TX502371"/>
    <x v="8"/>
    <x v="5"/>
    <n v="71.5"/>
    <n v="786.5"/>
    <d v="2025-03-28T00:00:00"/>
    <d v="2025-03-29T00:00:00"/>
    <s v="F"/>
    <x v="1"/>
    <x v="4"/>
    <x v="0"/>
    <x v="8"/>
    <x v="3"/>
    <x v="12"/>
    <x v="2"/>
  </r>
  <r>
    <s v="TX502372"/>
    <x v="6"/>
    <x v="12"/>
    <n v="121.4"/>
    <n v="485.6"/>
    <d v="2025-03-28T00:00:00"/>
    <d v="2025-04-01T00:00:00"/>
    <s v="M"/>
    <x v="1"/>
    <x v="2"/>
    <x v="0"/>
    <x v="17"/>
    <x v="5"/>
    <x v="12"/>
    <x v="1"/>
  </r>
  <r>
    <s v="TX502373"/>
    <x v="11"/>
    <x v="0"/>
    <n v="40.200000000000003"/>
    <n v="40.200000000000003"/>
    <d v="2025-03-28T00:00:00"/>
    <d v="2025-03-31T00:00:00"/>
    <s v="F"/>
    <x v="0"/>
    <x v="2"/>
    <x v="0"/>
    <x v="11"/>
    <x v="2"/>
    <x v="12"/>
    <x v="2"/>
  </r>
  <r>
    <s v="TX502374"/>
    <x v="5"/>
    <x v="9"/>
    <n v="31.9"/>
    <n v="159.5"/>
    <d v="2025-03-28T00:00:00"/>
    <d v="2025-03-30T00:00:00"/>
    <s v="F"/>
    <x v="2"/>
    <x v="2"/>
    <x v="0"/>
    <x v="28"/>
    <x v="1"/>
    <x v="12"/>
    <x v="2"/>
  </r>
  <r>
    <s v="TX502375"/>
    <x v="14"/>
    <x v="9"/>
    <n v="15.8"/>
    <n v="79"/>
    <d v="2025-03-29T00:00:00"/>
    <d v="2025-03-30T00:00:00"/>
    <s v="M"/>
    <x v="3"/>
    <x v="2"/>
    <x v="0"/>
    <x v="21"/>
    <x v="3"/>
    <x v="12"/>
    <x v="1"/>
  </r>
  <r>
    <s v="TX502376"/>
    <x v="10"/>
    <x v="1"/>
    <n v="25.1"/>
    <n v="50.2"/>
    <d v="2025-03-29T00:00:00"/>
    <d v="2025-03-31T00:00:00"/>
    <s v=""/>
    <x v="1"/>
    <x v="0"/>
    <x v="0"/>
    <x v="21"/>
    <x v="1"/>
    <x v="12"/>
    <x v="0"/>
  </r>
  <r>
    <s v="TX502377"/>
    <x v="1"/>
    <x v="44"/>
    <n v="38.1"/>
    <n v="876.30000000000007"/>
    <d v="2025-03-29T00:00:00"/>
    <d v="2025-03-30T00:00:00"/>
    <s v="F"/>
    <x v="4"/>
    <x v="0"/>
    <x v="0"/>
    <x v="1"/>
    <x v="3"/>
    <x v="12"/>
    <x v="2"/>
  </r>
  <r>
    <s v="TX502378"/>
    <x v="3"/>
    <x v="1"/>
    <n v="42.2"/>
    <n v="84.4"/>
    <d v="2025-03-29T00:00:00"/>
    <d v="2025-03-31T00:00:00"/>
    <s v="F"/>
    <x v="0"/>
    <x v="2"/>
    <x v="0"/>
    <x v="1"/>
    <x v="1"/>
    <x v="12"/>
    <x v="2"/>
  </r>
  <r>
    <s v="TX502379"/>
    <x v="0"/>
    <x v="7"/>
    <n v="12.3"/>
    <n v="123"/>
    <d v="2025-03-29T00:00:00"/>
    <d v="2025-03-30T00:00:00"/>
    <s v="F"/>
    <x v="4"/>
    <x v="0"/>
    <x v="0"/>
    <x v="2"/>
    <x v="3"/>
    <x v="12"/>
    <x v="2"/>
  </r>
  <r>
    <s v="TX502380"/>
    <x v="7"/>
    <x v="0"/>
    <n v="30.2"/>
    <n v="30.2"/>
    <d v="2025-03-29T00:00:00"/>
    <d v="2025-03-31T00:00:00"/>
    <s v="F"/>
    <x v="1"/>
    <x v="2"/>
    <x v="0"/>
    <x v="34"/>
    <x v="1"/>
    <x v="12"/>
    <x v="2"/>
  </r>
  <r>
    <s v="TX502381"/>
    <x v="5"/>
    <x v="2"/>
    <n v="25.3"/>
    <n v="75.900000000000006"/>
    <d v="2025-03-29T00:00:00"/>
    <d v="2025-04-01T00:00:00"/>
    <s v="F"/>
    <x v="2"/>
    <x v="0"/>
    <x v="0"/>
    <x v="3"/>
    <x v="2"/>
    <x v="12"/>
    <x v="2"/>
  </r>
  <r>
    <s v="TX502382"/>
    <x v="8"/>
    <x v="9"/>
    <n v="29.7"/>
    <n v="148.5"/>
    <d v="2025-03-29T00:00:00"/>
    <d v="2025-03-31T00:00:00"/>
    <s v="M"/>
    <x v="3"/>
    <x v="0"/>
    <x v="0"/>
    <x v="3"/>
    <x v="1"/>
    <x v="12"/>
    <x v="1"/>
  </r>
  <r>
    <s v="TX502383"/>
    <x v="9"/>
    <x v="8"/>
    <n v="32.9"/>
    <n v="263.2"/>
    <d v="2025-03-29T00:00:00"/>
    <d v="2025-03-30T00:00:00"/>
    <s v=""/>
    <x v="3"/>
    <x v="2"/>
    <x v="0"/>
    <x v="3"/>
    <x v="3"/>
    <x v="12"/>
    <x v="0"/>
  </r>
  <r>
    <s v="TX502384"/>
    <x v="10"/>
    <x v="1"/>
    <n v="43.6"/>
    <n v="87.2"/>
    <d v="2025-03-29T00:00:00"/>
    <d v="2025-03-30T00:00:00"/>
    <s v="M"/>
    <x v="1"/>
    <x v="2"/>
    <x v="0"/>
    <x v="3"/>
    <x v="3"/>
    <x v="12"/>
    <x v="1"/>
  </r>
  <r>
    <s v="TX502385"/>
    <x v="15"/>
    <x v="12"/>
    <n v="78.400000000000006"/>
    <n v="313.60000000000002"/>
    <d v="2025-03-29T00:00:00"/>
    <d v="2025-03-30T00:00:00"/>
    <s v="M"/>
    <x v="2"/>
    <x v="0"/>
    <x v="0"/>
    <x v="3"/>
    <x v="3"/>
    <x v="12"/>
    <x v="1"/>
  </r>
  <r>
    <s v="TX502386"/>
    <x v="6"/>
    <x v="1"/>
    <n v="56.5"/>
    <n v="113"/>
    <d v="2025-03-29T00:00:00"/>
    <d v="2025-04-02T00:00:00"/>
    <s v="M"/>
    <x v="1"/>
    <x v="1"/>
    <x v="0"/>
    <x v="3"/>
    <x v="5"/>
    <x v="12"/>
    <x v="1"/>
  </r>
  <r>
    <s v="TX502387"/>
    <x v="16"/>
    <x v="0"/>
    <n v="36.700000000000003"/>
    <n v="36.700000000000003"/>
    <d v="2025-03-29T00:00:00"/>
    <d v="2025-03-30T00:00:00"/>
    <s v="F"/>
    <x v="0"/>
    <x v="2"/>
    <x v="0"/>
    <x v="3"/>
    <x v="3"/>
    <x v="12"/>
    <x v="2"/>
  </r>
  <r>
    <s v="TX502388"/>
    <x v="2"/>
    <x v="12"/>
    <n v="103.6"/>
    <n v="414.4"/>
    <d v="2025-03-29T00:00:00"/>
    <d v="2025-04-09T00:00:00"/>
    <s v="M"/>
    <x v="4"/>
    <x v="2"/>
    <x v="0"/>
    <x v="3"/>
    <x v="11"/>
    <x v="12"/>
    <x v="1"/>
  </r>
  <r>
    <s v="TX502389"/>
    <x v="8"/>
    <x v="13"/>
    <n v="16.2"/>
    <n v="97.199999999999989"/>
    <d v="2025-03-29T00:00:00"/>
    <d v="2025-04-02T00:00:00"/>
    <s v="M"/>
    <x v="1"/>
    <x v="2"/>
    <x v="0"/>
    <x v="6"/>
    <x v="5"/>
    <x v="12"/>
    <x v="1"/>
  </r>
  <r>
    <s v="TX502390"/>
    <x v="8"/>
    <x v="1"/>
    <n v="20.2"/>
    <n v="40.4"/>
    <d v="2025-03-29T00:00:00"/>
    <d v="2025-03-30T00:00:00"/>
    <s v="F"/>
    <x v="0"/>
    <x v="0"/>
    <x v="0"/>
    <x v="6"/>
    <x v="3"/>
    <x v="12"/>
    <x v="2"/>
  </r>
  <r>
    <s v="TX502391"/>
    <x v="11"/>
    <x v="1"/>
    <n v="26.9"/>
    <n v="53.8"/>
    <d v="2025-03-29T00:00:00"/>
    <d v="2025-03-31T00:00:00"/>
    <s v="F"/>
    <x v="2"/>
    <x v="0"/>
    <x v="0"/>
    <x v="6"/>
    <x v="1"/>
    <x v="12"/>
    <x v="2"/>
  </r>
  <r>
    <s v="TX502392"/>
    <x v="1"/>
    <x v="1"/>
    <n v="82.4"/>
    <n v="164.8"/>
    <d v="2025-03-29T00:00:00"/>
    <d v="2025-04-01T00:00:00"/>
    <s v=""/>
    <x v="0"/>
    <x v="0"/>
    <x v="0"/>
    <x v="7"/>
    <x v="2"/>
    <x v="12"/>
    <x v="0"/>
  </r>
  <r>
    <s v="TX502393"/>
    <x v="2"/>
    <x v="1"/>
    <n v="117.8"/>
    <n v="235.6"/>
    <d v="2025-03-29T00:00:00"/>
    <d v="2025-03-31T00:00:00"/>
    <s v="M"/>
    <x v="1"/>
    <x v="2"/>
    <x v="0"/>
    <x v="8"/>
    <x v="1"/>
    <x v="12"/>
    <x v="1"/>
  </r>
  <r>
    <s v="TX502394"/>
    <x v="11"/>
    <x v="12"/>
    <n v="36.700000000000003"/>
    <n v="146.80000000000001"/>
    <d v="2025-03-29T00:00:00"/>
    <d v="2025-03-30T00:00:00"/>
    <s v="M"/>
    <x v="1"/>
    <x v="0"/>
    <x v="0"/>
    <x v="8"/>
    <x v="3"/>
    <x v="12"/>
    <x v="1"/>
  </r>
  <r>
    <s v="TX502395"/>
    <x v="17"/>
    <x v="2"/>
    <n v="46.8"/>
    <n v="140.39999999999998"/>
    <d v="2025-03-29T00:00:00"/>
    <d v="2025-03-30T00:00:00"/>
    <s v="M"/>
    <x v="4"/>
    <x v="2"/>
    <x v="0"/>
    <x v="10"/>
    <x v="3"/>
    <x v="12"/>
    <x v="1"/>
  </r>
  <r>
    <s v="TX502396"/>
    <x v="3"/>
    <x v="0"/>
    <n v="61.4"/>
    <n v="61.4"/>
    <d v="2025-03-29T00:00:00"/>
    <d v="2025-03-30T00:00:00"/>
    <s v="M"/>
    <x v="1"/>
    <x v="0"/>
    <x v="0"/>
    <x v="10"/>
    <x v="3"/>
    <x v="12"/>
    <x v="1"/>
  </r>
  <r>
    <s v="TX502397"/>
    <x v="15"/>
    <x v="1"/>
    <n v="22.9"/>
    <n v="45.8"/>
    <d v="2025-03-29T00:00:00"/>
    <d v="2025-03-30T00:00:00"/>
    <s v="M"/>
    <x v="0"/>
    <x v="0"/>
    <x v="0"/>
    <x v="11"/>
    <x v="3"/>
    <x v="12"/>
    <x v="1"/>
  </r>
  <r>
    <s v="TX502398"/>
    <x v="10"/>
    <x v="1"/>
    <n v="22.1"/>
    <n v="44.2"/>
    <d v="2025-03-29T00:00:00"/>
    <d v="2025-03-30T00:00:00"/>
    <s v="F"/>
    <x v="4"/>
    <x v="0"/>
    <x v="0"/>
    <x v="11"/>
    <x v="3"/>
    <x v="12"/>
    <x v="2"/>
  </r>
  <r>
    <s v="TX502399"/>
    <x v="12"/>
    <x v="1"/>
    <n v="31"/>
    <n v="62"/>
    <d v="2025-03-29T00:00:00"/>
    <d v="2025-03-31T00:00:00"/>
    <s v="F"/>
    <x v="2"/>
    <x v="0"/>
    <x v="0"/>
    <x v="18"/>
    <x v="1"/>
    <x v="12"/>
    <x v="2"/>
  </r>
  <r>
    <s v="TX502400"/>
    <x v="18"/>
    <x v="1"/>
    <n v="84.2"/>
    <n v="168.4"/>
    <d v="2025-03-29T00:00:00"/>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A8FA8-38BE-4DCD-8774-8451E98270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10144-D2C8-4896-9314-7F6D23F54D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9"/>
  </dataFields>
  <formats count="10">
    <format dxfId="14">
      <pivotArea type="all" dataOnly="0" outline="0" fieldPosition="0"/>
    </format>
    <format dxfId="13">
      <pivotArea outline="0" collapsedLevelsAreSubtotals="1" fieldPosition="0"/>
    </format>
    <format dxfId="12">
      <pivotArea type="origin" dataOnly="0" labelOnly="1" outline="0" fieldPosition="0"/>
    </format>
    <format dxfId="11">
      <pivotArea field="14" type="button" dataOnly="0" labelOnly="1" outline="0" axis="axisCol" fieldPosition="0"/>
    </format>
    <format dxfId="10">
      <pivotArea type="topRight" dataOnly="0" labelOnly="1" outline="0"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fieldPosition="0">
        <references count="1">
          <reference field="14" count="0"/>
        </references>
      </pivotArea>
    </format>
    <format dxfId="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24C65-6F19-4D45-B2C5-923CF9AE3A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6">
    <pivotField dataField="1" showAll="0"/>
    <pivotField showAll="0"/>
    <pivotField showAll="0" sortType="descending">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autoSortScope>
        <pivotArea dataOnly="0" outline="0" fieldPosition="0">
          <references count="1">
            <reference field="4294967294" count="1" selected="0">
              <x v="0"/>
            </reference>
          </references>
        </pivotArea>
      </autoSortScope>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axis="axisRow" showAll="0" sortType="descending">
      <items count="8">
        <item x="0"/>
        <item x="1"/>
        <item x="2"/>
        <item x="4"/>
        <item x="3"/>
        <item n="Group 6 to 10" x="5"/>
        <item n="Group from 11" x="6"/>
        <item t="default"/>
      </items>
      <autoSortScope>
        <pivotArea dataOnly="0" outline="0" fieldPosition="0">
          <references count="1">
            <reference field="4294967294" count="1" selected="0">
              <x v="0"/>
            </reference>
          </references>
        </pivotArea>
      </autoSortScope>
    </pivotField>
  </pivotFields>
  <rowFields count="1">
    <field x="15"/>
  </rowFields>
  <rowItems count="8">
    <i>
      <x v="1"/>
    </i>
    <i>
      <x v="5"/>
    </i>
    <i>
      <x/>
    </i>
    <i>
      <x v="2"/>
    </i>
    <i>
      <x v="3"/>
    </i>
    <i>
      <x v="6"/>
    </i>
    <i>
      <x v="4"/>
    </i>
    <i t="grand">
      <x/>
    </i>
  </rowItems>
  <colItems count="1">
    <i/>
  </colItems>
  <dataFields count="1">
    <dataField name="Count of TX ID"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34D06-53EE-4A65-9930-0C10492FFC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2" firstHeaderRow="1" firstDataRow="1" firstDataCol="1"/>
  <pivotFields count="16">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showAll="0" defaultSubtotal="0">
      <items count="7">
        <item x="0"/>
        <item x="1"/>
        <item x="2"/>
        <item x="3"/>
        <item x="4"/>
        <item x="5"/>
        <item x="6"/>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TX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0C2EFB-1FE0-4613-A25E-0837639275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F25" firstHeaderRow="1" firstDataRow="2" firstDataCol="1"/>
  <pivotFields count="16">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s>
  <rowFields count="1">
    <field x="1"/>
  </rowFields>
  <rowItems count="21">
    <i>
      <x v="7"/>
    </i>
    <i>
      <x/>
    </i>
    <i>
      <x v="17"/>
    </i>
    <i>
      <x v="15"/>
    </i>
    <i>
      <x v="9"/>
    </i>
    <i>
      <x v="10"/>
    </i>
    <i>
      <x v="19"/>
    </i>
    <i>
      <x v="2"/>
    </i>
    <i>
      <x v="8"/>
    </i>
    <i>
      <x v="3"/>
    </i>
    <i>
      <x v="11"/>
    </i>
    <i>
      <x v="5"/>
    </i>
    <i>
      <x v="4"/>
    </i>
    <i>
      <x v="14"/>
    </i>
    <i>
      <x v="12"/>
    </i>
    <i>
      <x v="1"/>
    </i>
    <i>
      <x v="16"/>
    </i>
    <i>
      <x v="13"/>
    </i>
    <i>
      <x v="6"/>
    </i>
    <i>
      <x v="18"/>
    </i>
    <i t="grand">
      <x/>
    </i>
  </rowItems>
  <colFields count="1">
    <field x="14"/>
  </colFields>
  <colItems count="5">
    <i>
      <x/>
    </i>
    <i>
      <x v="1"/>
    </i>
    <i>
      <x v="2"/>
    </i>
    <i>
      <x v="3"/>
    </i>
    <i t="grand">
      <x/>
    </i>
  </colItems>
  <dataFields count="1">
    <dataField name="Sum of Quantity" fld="2" baseField="0" baseItem="0"/>
  </dataFields>
  <chartFormats count="20">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6" format="0" series="1">
      <pivotArea type="data" outline="0" fieldPosition="0">
        <references count="2">
          <reference field="4294967294" count="1" selected="0">
            <x v="0"/>
          </reference>
          <reference field="14" count="1" selected="0">
            <x v="0"/>
          </reference>
        </references>
      </pivotArea>
    </chartFormat>
    <chartFormat chart="16" format="1" series="1">
      <pivotArea type="data" outline="0" fieldPosition="0">
        <references count="2">
          <reference field="4294967294" count="1" selected="0">
            <x v="0"/>
          </reference>
          <reference field="14" count="1" selected="0">
            <x v="1"/>
          </reference>
        </references>
      </pivotArea>
    </chartFormat>
    <chartFormat chart="16" format="2" series="1">
      <pivotArea type="data" outline="0" fieldPosition="0">
        <references count="2">
          <reference field="4294967294" count="1" selected="0">
            <x v="0"/>
          </reference>
          <reference field="14" count="1" selected="0">
            <x v="2"/>
          </reference>
        </references>
      </pivotArea>
    </chartFormat>
    <chartFormat chart="16" format="3" series="1">
      <pivotArea type="data" outline="0" fieldPosition="0">
        <references count="2">
          <reference field="4294967294" count="1" selected="0">
            <x v="0"/>
          </reference>
          <reference field="14" count="1" selected="0">
            <x v="3"/>
          </reference>
        </references>
      </pivotArea>
    </chartFormat>
    <chartFormat chart="25" format="0" series="1">
      <pivotArea type="data" outline="0" fieldPosition="0">
        <references count="2">
          <reference field="4294967294" count="1" selected="0">
            <x v="0"/>
          </reference>
          <reference field="14" count="1" selected="0">
            <x v="0"/>
          </reference>
        </references>
      </pivotArea>
    </chartFormat>
    <chartFormat chart="25" format="1" series="1">
      <pivotArea type="data" outline="0" fieldPosition="0">
        <references count="2">
          <reference field="4294967294" count="1" selected="0">
            <x v="0"/>
          </reference>
          <reference field="14" count="1" selected="0">
            <x v="1"/>
          </reference>
        </references>
      </pivotArea>
    </chartFormat>
    <chartFormat chart="25" format="2" series="1">
      <pivotArea type="data" outline="0" fieldPosition="0">
        <references count="2">
          <reference field="4294967294" count="1" selected="0">
            <x v="0"/>
          </reference>
          <reference field="14" count="1" selected="0">
            <x v="2"/>
          </reference>
        </references>
      </pivotArea>
    </chartFormat>
    <chartFormat chart="25" format="3" series="1">
      <pivotArea type="data" outline="0" fieldPosition="0">
        <references count="2">
          <reference field="4294967294" count="1" selected="0">
            <x v="0"/>
          </reference>
          <reference field="14" count="1" selected="0">
            <x v="3"/>
          </reference>
        </references>
      </pivotArea>
    </chartFormat>
    <chartFormat chart="28" format="8" series="1">
      <pivotArea type="data" outline="0" fieldPosition="0">
        <references count="2">
          <reference field="4294967294" count="1" selected="0">
            <x v="0"/>
          </reference>
          <reference field="14" count="1" selected="0">
            <x v="0"/>
          </reference>
        </references>
      </pivotArea>
    </chartFormat>
    <chartFormat chart="28" format="9" series="1">
      <pivotArea type="data" outline="0" fieldPosition="0">
        <references count="2">
          <reference field="4294967294" count="1" selected="0">
            <x v="0"/>
          </reference>
          <reference field="14" count="1" selected="0">
            <x v="1"/>
          </reference>
        </references>
      </pivotArea>
    </chartFormat>
    <chartFormat chart="28" format="10" series="1">
      <pivotArea type="data" outline="0" fieldPosition="0">
        <references count="2">
          <reference field="4294967294" count="1" selected="0">
            <x v="0"/>
          </reference>
          <reference field="14" count="1" selected="0">
            <x v="2"/>
          </reference>
        </references>
      </pivotArea>
    </chartFormat>
    <chartFormat chart="2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2B831D-289A-4478-A125-B4481485C7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3"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axis="axisRow"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defaultSubtotal="0">
      <items count="7">
        <item x="0"/>
        <item x="1"/>
        <item x="2"/>
        <item x="3"/>
        <item x="4"/>
        <item x="5"/>
        <item x="6"/>
      </items>
    </pivotField>
  </pivotFields>
  <rowFields count="2">
    <field x="10"/>
    <field x="11"/>
  </rowFields>
  <rowItems count="6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chartFormats count="237">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1"/>
          </reference>
        </references>
      </pivotArea>
    </chartFormat>
    <chartFormat chart="6" format="12">
      <pivotArea type="data" outline="0" fieldPosition="0">
        <references count="3">
          <reference field="4294967294" count="1" selected="0">
            <x v="0"/>
          </reference>
          <reference field="10" count="1" selected="0">
            <x v="0"/>
          </reference>
          <reference field="11" count="1" selected="0">
            <x v="0"/>
          </reference>
        </references>
      </pivotArea>
    </chartFormat>
    <chartFormat chart="6" format="13">
      <pivotArea type="data" outline="0" fieldPosition="0">
        <references count="3">
          <reference field="4294967294" count="1" selected="0">
            <x v="0"/>
          </reference>
          <reference field="10" count="1" selected="0">
            <x v="0"/>
          </reference>
          <reference field="11" count="1" selected="0">
            <x v="1"/>
          </reference>
        </references>
      </pivotArea>
    </chartFormat>
    <chartFormat chart="6" format="14">
      <pivotArea type="data" outline="0" fieldPosition="0">
        <references count="3">
          <reference field="4294967294" count="1" selected="0">
            <x v="0"/>
          </reference>
          <reference field="10" count="1" selected="0">
            <x v="0"/>
          </reference>
          <reference field="11" count="1" selected="0">
            <x v="2"/>
          </reference>
        </references>
      </pivotArea>
    </chartFormat>
    <chartFormat chart="6" format="15">
      <pivotArea type="data" outline="0" fieldPosition="0">
        <references count="3">
          <reference field="4294967294" count="1" selected="0">
            <x v="0"/>
          </reference>
          <reference field="10" count="1" selected="0">
            <x v="0"/>
          </reference>
          <reference field="11" count="1" selected="0">
            <x v="3"/>
          </reference>
        </references>
      </pivotArea>
    </chartFormat>
    <chartFormat chart="6" format="16">
      <pivotArea type="data" outline="0" fieldPosition="0">
        <references count="3">
          <reference field="4294967294" count="1" selected="0">
            <x v="0"/>
          </reference>
          <reference field="10" count="1" selected="0">
            <x v="0"/>
          </reference>
          <reference field="11" count="1" selected="0">
            <x v="4"/>
          </reference>
        </references>
      </pivotArea>
    </chartFormat>
    <chartFormat chart="6" format="17">
      <pivotArea type="data" outline="0" fieldPosition="0">
        <references count="3">
          <reference field="4294967294" count="1" selected="0">
            <x v="0"/>
          </reference>
          <reference field="10" count="1" selected="0">
            <x v="0"/>
          </reference>
          <reference field="11" count="1" selected="0">
            <x v="5"/>
          </reference>
        </references>
      </pivotArea>
    </chartFormat>
    <chartFormat chart="6" format="18">
      <pivotArea type="data" outline="0" fieldPosition="0">
        <references count="3">
          <reference field="4294967294" count="1" selected="0">
            <x v="0"/>
          </reference>
          <reference field="10" count="1" selected="0">
            <x v="0"/>
          </reference>
          <reference field="11" count="1" selected="0">
            <x v="6"/>
          </reference>
        </references>
      </pivotArea>
    </chartFormat>
    <chartFormat chart="6" format="19">
      <pivotArea type="data" outline="0" fieldPosition="0">
        <references count="3">
          <reference field="4294967294" count="1" selected="0">
            <x v="0"/>
          </reference>
          <reference field="10" count="1" selected="0">
            <x v="0"/>
          </reference>
          <reference field="11" count="1" selected="0">
            <x v="7"/>
          </reference>
        </references>
      </pivotArea>
    </chartFormat>
    <chartFormat chart="6" format="20">
      <pivotArea type="data" outline="0" fieldPosition="0">
        <references count="3">
          <reference field="4294967294" count="1" selected="0">
            <x v="0"/>
          </reference>
          <reference field="10" count="1" selected="0">
            <x v="0"/>
          </reference>
          <reference field="11" count="1" selected="0">
            <x v="8"/>
          </reference>
        </references>
      </pivotArea>
    </chartFormat>
    <chartFormat chart="6" format="21">
      <pivotArea type="data" outline="0" fieldPosition="0">
        <references count="3">
          <reference field="4294967294" count="1" selected="0">
            <x v="0"/>
          </reference>
          <reference field="10" count="1" selected="0">
            <x v="0"/>
          </reference>
          <reference field="11" count="1" selected="0">
            <x v="9"/>
          </reference>
        </references>
      </pivotArea>
    </chartFormat>
    <chartFormat chart="6" format="22">
      <pivotArea type="data" outline="0" fieldPosition="0">
        <references count="3">
          <reference field="4294967294" count="1" selected="0">
            <x v="0"/>
          </reference>
          <reference field="10" count="1" selected="0">
            <x v="0"/>
          </reference>
          <reference field="11" count="1" selected="0">
            <x v="10"/>
          </reference>
        </references>
      </pivotArea>
    </chartFormat>
    <chartFormat chart="6" format="23">
      <pivotArea type="data" outline="0" fieldPosition="0">
        <references count="3">
          <reference field="4294967294" count="1" selected="0">
            <x v="0"/>
          </reference>
          <reference field="10" count="1" selected="0">
            <x v="0"/>
          </reference>
          <reference field="11" count="1" selected="0">
            <x v="11"/>
          </reference>
        </references>
      </pivotArea>
    </chartFormat>
    <chartFormat chart="6" format="24">
      <pivotArea type="data" outline="0" fieldPosition="0">
        <references count="3">
          <reference field="4294967294" count="1" selected="0">
            <x v="0"/>
          </reference>
          <reference field="10" count="1" selected="0">
            <x v="0"/>
          </reference>
          <reference field="11" count="1" selected="0">
            <x v="12"/>
          </reference>
        </references>
      </pivotArea>
    </chartFormat>
    <chartFormat chart="6" format="25">
      <pivotArea type="data" outline="0" fieldPosition="0">
        <references count="3">
          <reference field="4294967294" count="1" selected="0">
            <x v="0"/>
          </reference>
          <reference field="10" count="1" selected="0">
            <x v="0"/>
          </reference>
          <reference field="11" count="1" selected="0">
            <x v="13"/>
          </reference>
        </references>
      </pivotArea>
    </chartFormat>
    <chartFormat chart="6" format="26">
      <pivotArea type="data" outline="0" fieldPosition="0">
        <references count="3">
          <reference field="4294967294" count="1" selected="0">
            <x v="0"/>
          </reference>
          <reference field="10" count="1" selected="0">
            <x v="0"/>
          </reference>
          <reference field="11" count="1" selected="0">
            <x v="14"/>
          </reference>
        </references>
      </pivotArea>
    </chartFormat>
    <chartFormat chart="6" format="27">
      <pivotArea type="data" outline="0" fieldPosition="0">
        <references count="3">
          <reference field="4294967294" count="1" selected="0">
            <x v="0"/>
          </reference>
          <reference field="10" count="1" selected="0">
            <x v="0"/>
          </reference>
          <reference field="11" count="1" selected="0">
            <x v="15"/>
          </reference>
        </references>
      </pivotArea>
    </chartFormat>
    <chartFormat chart="6" format="28">
      <pivotArea type="data" outline="0" fieldPosition="0">
        <references count="3">
          <reference field="4294967294" count="1" selected="0">
            <x v="0"/>
          </reference>
          <reference field="10" count="1" selected="0">
            <x v="0"/>
          </reference>
          <reference field="11" count="1" selected="0">
            <x v="16"/>
          </reference>
        </references>
      </pivotArea>
    </chartFormat>
    <chartFormat chart="6" format="29">
      <pivotArea type="data" outline="0" fieldPosition="0">
        <references count="3">
          <reference field="4294967294" count="1" selected="0">
            <x v="0"/>
          </reference>
          <reference field="10" count="1" selected="0">
            <x v="0"/>
          </reference>
          <reference field="11" count="1" selected="0">
            <x v="17"/>
          </reference>
        </references>
      </pivotArea>
    </chartFormat>
    <chartFormat chart="6" format="30">
      <pivotArea type="data" outline="0" fieldPosition="0">
        <references count="3">
          <reference field="4294967294" count="1" selected="0">
            <x v="0"/>
          </reference>
          <reference field="10" count="1" selected="0">
            <x v="0"/>
          </reference>
          <reference field="11" count="1" selected="0">
            <x v="18"/>
          </reference>
        </references>
      </pivotArea>
    </chartFormat>
    <chartFormat chart="6" format="31">
      <pivotArea type="data" outline="0" fieldPosition="0">
        <references count="3">
          <reference field="4294967294" count="1" selected="0">
            <x v="0"/>
          </reference>
          <reference field="10" count="1" selected="0">
            <x v="0"/>
          </reference>
          <reference field="11" count="1" selected="0">
            <x v="19"/>
          </reference>
        </references>
      </pivotArea>
    </chartFormat>
    <chartFormat chart="6" format="32">
      <pivotArea type="data" outline="0" fieldPosition="0">
        <references count="3">
          <reference field="4294967294" count="1" selected="0">
            <x v="0"/>
          </reference>
          <reference field="10" count="1" selected="0">
            <x v="0"/>
          </reference>
          <reference field="11" count="1" selected="0">
            <x v="20"/>
          </reference>
        </references>
      </pivotArea>
    </chartFormat>
    <chartFormat chart="6" format="33">
      <pivotArea type="data" outline="0" fieldPosition="0">
        <references count="3">
          <reference field="4294967294" count="1" selected="0">
            <x v="0"/>
          </reference>
          <reference field="10" count="1" selected="0">
            <x v="0"/>
          </reference>
          <reference field="11" count="1" selected="0">
            <x v="21"/>
          </reference>
        </references>
      </pivotArea>
    </chartFormat>
    <chartFormat chart="6" format="34">
      <pivotArea type="data" outline="0" fieldPosition="0">
        <references count="3">
          <reference field="4294967294" count="1" selected="0">
            <x v="0"/>
          </reference>
          <reference field="10" count="1" selected="0">
            <x v="0"/>
          </reference>
          <reference field="11" count="1" selected="0">
            <x v="22"/>
          </reference>
        </references>
      </pivotArea>
    </chartFormat>
    <chartFormat chart="6" format="35">
      <pivotArea type="data" outline="0" fieldPosition="0">
        <references count="3">
          <reference field="4294967294" count="1" selected="0">
            <x v="0"/>
          </reference>
          <reference field="10" count="1" selected="0">
            <x v="0"/>
          </reference>
          <reference field="11" count="1" selected="0">
            <x v="23"/>
          </reference>
        </references>
      </pivotArea>
    </chartFormat>
    <chartFormat chart="6" format="36">
      <pivotArea type="data" outline="0" fieldPosition="0">
        <references count="3">
          <reference field="4294967294" count="1" selected="0">
            <x v="0"/>
          </reference>
          <reference field="10" count="1" selected="0">
            <x v="0"/>
          </reference>
          <reference field="11" count="1" selected="0">
            <x v="24"/>
          </reference>
        </references>
      </pivotArea>
    </chartFormat>
    <chartFormat chart="6" format="37">
      <pivotArea type="data" outline="0" fieldPosition="0">
        <references count="3">
          <reference field="4294967294" count="1" selected="0">
            <x v="0"/>
          </reference>
          <reference field="10" count="1" selected="0">
            <x v="0"/>
          </reference>
          <reference field="11" count="1" selected="0">
            <x v="25"/>
          </reference>
        </references>
      </pivotArea>
    </chartFormat>
    <chartFormat chart="6" format="38">
      <pivotArea type="data" outline="0" fieldPosition="0">
        <references count="3">
          <reference field="4294967294" count="1" selected="0">
            <x v="0"/>
          </reference>
          <reference field="10" count="1" selected="0">
            <x v="0"/>
          </reference>
          <reference field="11" count="1" selected="0">
            <x v="26"/>
          </reference>
        </references>
      </pivotArea>
    </chartFormat>
    <chartFormat chart="6" format="39">
      <pivotArea type="data" outline="0" fieldPosition="0">
        <references count="3">
          <reference field="4294967294" count="1" selected="0">
            <x v="0"/>
          </reference>
          <reference field="10" count="1" selected="0">
            <x v="0"/>
          </reference>
          <reference field="11" count="1" selected="0">
            <x v="27"/>
          </reference>
        </references>
      </pivotArea>
    </chartFormat>
    <chartFormat chart="6" format="40">
      <pivotArea type="data" outline="0" fieldPosition="0">
        <references count="3">
          <reference field="4294967294" count="1" selected="0">
            <x v="0"/>
          </reference>
          <reference field="10" count="1" selected="0">
            <x v="0"/>
          </reference>
          <reference field="11" count="1" selected="0">
            <x v="28"/>
          </reference>
        </references>
      </pivotArea>
    </chartFormat>
    <chartFormat chart="6" format="41">
      <pivotArea type="data" outline="0" fieldPosition="0">
        <references count="3">
          <reference field="4294967294" count="1" selected="0">
            <x v="0"/>
          </reference>
          <reference field="10" count="1" selected="0">
            <x v="0"/>
          </reference>
          <reference field="11" count="1" selected="0">
            <x v="29"/>
          </reference>
        </references>
      </pivotArea>
    </chartFormat>
    <chartFormat chart="6" format="42">
      <pivotArea type="data" outline="0" fieldPosition="0">
        <references count="3">
          <reference field="4294967294" count="1" selected="0">
            <x v="0"/>
          </reference>
          <reference field="10" count="1" selected="0">
            <x v="0"/>
          </reference>
          <reference field="11" count="1" selected="0">
            <x v="30"/>
          </reference>
        </references>
      </pivotArea>
    </chartFormat>
    <chartFormat chart="6" format="43">
      <pivotArea type="data" outline="0" fieldPosition="0">
        <references count="3">
          <reference field="4294967294" count="1" selected="0">
            <x v="0"/>
          </reference>
          <reference field="10" count="1" selected="0">
            <x v="0"/>
          </reference>
          <reference field="11" count="1" selected="0">
            <x v="31"/>
          </reference>
        </references>
      </pivotArea>
    </chartFormat>
    <chartFormat chart="6" format="44">
      <pivotArea type="data" outline="0" fieldPosition="0">
        <references count="3">
          <reference field="4294967294" count="1" selected="0">
            <x v="0"/>
          </reference>
          <reference field="10" count="1" selected="0">
            <x v="0"/>
          </reference>
          <reference field="11" count="1" selected="0">
            <x v="32"/>
          </reference>
        </references>
      </pivotArea>
    </chartFormat>
    <chartFormat chart="6" format="45">
      <pivotArea type="data" outline="0" fieldPosition="0">
        <references count="3">
          <reference field="4294967294" count="1" selected="0">
            <x v="0"/>
          </reference>
          <reference field="10" count="1" selected="0">
            <x v="0"/>
          </reference>
          <reference field="11" count="1" selected="0">
            <x v="33"/>
          </reference>
        </references>
      </pivotArea>
    </chartFormat>
    <chartFormat chart="6" format="46">
      <pivotArea type="data" outline="0" fieldPosition="0">
        <references count="3">
          <reference field="4294967294" count="1" selected="0">
            <x v="0"/>
          </reference>
          <reference field="10" count="1" selected="0">
            <x v="0"/>
          </reference>
          <reference field="11" count="1" selected="0">
            <x v="34"/>
          </reference>
        </references>
      </pivotArea>
    </chartFormat>
    <chartFormat chart="6" format="47">
      <pivotArea type="data" outline="0" fieldPosition="0">
        <references count="3">
          <reference field="4294967294" count="1" selected="0">
            <x v="0"/>
          </reference>
          <reference field="10" count="1" selected="0">
            <x v="0"/>
          </reference>
          <reference field="11" count="1" selected="0">
            <x v="35"/>
          </reference>
        </references>
      </pivotArea>
    </chartFormat>
    <chartFormat chart="6" format="48">
      <pivotArea type="data" outline="0" fieldPosition="0">
        <references count="3">
          <reference field="4294967294" count="1" selected="0">
            <x v="0"/>
          </reference>
          <reference field="10" count="1" selected="0">
            <x v="0"/>
          </reference>
          <reference field="11" count="1" selected="0">
            <x v="36"/>
          </reference>
        </references>
      </pivotArea>
    </chartFormat>
    <chartFormat chart="6" format="49">
      <pivotArea type="data" outline="0" fieldPosition="0">
        <references count="3">
          <reference field="4294967294" count="1" selected="0">
            <x v="0"/>
          </reference>
          <reference field="10" count="1" selected="0">
            <x v="0"/>
          </reference>
          <reference field="11" count="1" selected="0">
            <x v="37"/>
          </reference>
        </references>
      </pivotArea>
    </chartFormat>
    <chartFormat chart="6" format="50">
      <pivotArea type="data" outline="0" fieldPosition="0">
        <references count="3">
          <reference field="4294967294" count="1" selected="0">
            <x v="0"/>
          </reference>
          <reference field="10" count="1" selected="0">
            <x v="0"/>
          </reference>
          <reference field="11" count="1" selected="0">
            <x v="38"/>
          </reference>
        </references>
      </pivotArea>
    </chartFormat>
    <chartFormat chart="6" format="51">
      <pivotArea type="data" outline="0" fieldPosition="0">
        <references count="3">
          <reference field="4294967294" count="1" selected="0">
            <x v="0"/>
          </reference>
          <reference field="10" count="1" selected="0">
            <x v="0"/>
          </reference>
          <reference field="11" count="1" selected="0">
            <x v="39"/>
          </reference>
        </references>
      </pivotArea>
    </chartFormat>
    <chartFormat chart="6" format="52">
      <pivotArea type="data" outline="0" fieldPosition="0">
        <references count="3">
          <reference field="4294967294" count="1" selected="0">
            <x v="0"/>
          </reference>
          <reference field="10" count="1" selected="0">
            <x v="0"/>
          </reference>
          <reference field="11" count="1" selected="0">
            <x v="40"/>
          </reference>
        </references>
      </pivotArea>
    </chartFormat>
    <chartFormat chart="6" format="53">
      <pivotArea type="data" outline="0" fieldPosition="0">
        <references count="3">
          <reference field="4294967294" count="1" selected="0">
            <x v="0"/>
          </reference>
          <reference field="10" count="1" selected="0">
            <x v="0"/>
          </reference>
          <reference field="11" count="1" selected="0">
            <x v="41"/>
          </reference>
        </references>
      </pivotArea>
    </chartFormat>
    <chartFormat chart="6" format="54">
      <pivotArea type="data" outline="0" fieldPosition="0">
        <references count="3">
          <reference field="4294967294" count="1" selected="0">
            <x v="0"/>
          </reference>
          <reference field="10" count="1" selected="0">
            <x v="0"/>
          </reference>
          <reference field="11" count="1" selected="0">
            <x v="42"/>
          </reference>
        </references>
      </pivotArea>
    </chartFormat>
    <chartFormat chart="6" format="55">
      <pivotArea type="data" outline="0" fieldPosition="0">
        <references count="3">
          <reference field="4294967294" count="1" selected="0">
            <x v="0"/>
          </reference>
          <reference field="10" count="1" selected="0">
            <x v="0"/>
          </reference>
          <reference field="11" count="1" selected="0">
            <x v="43"/>
          </reference>
        </references>
      </pivotArea>
    </chartFormat>
    <chartFormat chart="6" format="56">
      <pivotArea type="data" outline="0" fieldPosition="0">
        <references count="3">
          <reference field="4294967294" count="1" selected="0">
            <x v="0"/>
          </reference>
          <reference field="10" count="1" selected="0">
            <x v="0"/>
          </reference>
          <reference field="11" count="1" selected="0">
            <x v="44"/>
          </reference>
        </references>
      </pivotArea>
    </chartFormat>
    <chartFormat chart="6" format="57">
      <pivotArea type="data" outline="0" fieldPosition="0">
        <references count="3">
          <reference field="4294967294" count="1" selected="0">
            <x v="0"/>
          </reference>
          <reference field="10" count="1" selected="0">
            <x v="0"/>
          </reference>
          <reference field="11" count="1" selected="0">
            <x v="45"/>
          </reference>
        </references>
      </pivotArea>
    </chartFormat>
    <chartFormat chart="6" format="58">
      <pivotArea type="data" outline="0" fieldPosition="0">
        <references count="3">
          <reference field="4294967294" count="1" selected="0">
            <x v="0"/>
          </reference>
          <reference field="10" count="1" selected="0">
            <x v="0"/>
          </reference>
          <reference field="11" count="1" selected="0">
            <x v="46"/>
          </reference>
        </references>
      </pivotArea>
    </chartFormat>
    <chartFormat chart="6" format="59">
      <pivotArea type="data" outline="0" fieldPosition="0">
        <references count="3">
          <reference field="4294967294" count="1" selected="0">
            <x v="0"/>
          </reference>
          <reference field="10" count="1" selected="0">
            <x v="0"/>
          </reference>
          <reference field="11" count="1" selected="0">
            <x v="47"/>
          </reference>
        </references>
      </pivotArea>
    </chartFormat>
    <chartFormat chart="6" format="60">
      <pivotArea type="data" outline="0" fieldPosition="0">
        <references count="3">
          <reference field="4294967294" count="1" selected="0">
            <x v="0"/>
          </reference>
          <reference field="10" count="1" selected="0">
            <x v="0"/>
          </reference>
          <reference field="11" count="1" selected="0">
            <x v="48"/>
          </reference>
        </references>
      </pivotArea>
    </chartFormat>
    <chartFormat chart="6" format="61">
      <pivotArea type="data" outline="0" fieldPosition="0">
        <references count="3">
          <reference field="4294967294" count="1" selected="0">
            <x v="0"/>
          </reference>
          <reference field="10" count="1" selected="0">
            <x v="0"/>
          </reference>
          <reference field="11" count="1" selected="0">
            <x v="49"/>
          </reference>
        </references>
      </pivotArea>
    </chartFormat>
    <chartFormat chart="6" format="62">
      <pivotArea type="data" outline="0" fieldPosition="0">
        <references count="3">
          <reference field="4294967294" count="1" selected="0">
            <x v="0"/>
          </reference>
          <reference field="10" count="1" selected="0">
            <x v="0"/>
          </reference>
          <reference field="11" count="1" selected="0">
            <x v="50"/>
          </reference>
        </references>
      </pivotArea>
    </chartFormat>
    <chartFormat chart="6" format="63">
      <pivotArea type="data" outline="0" fieldPosition="0">
        <references count="3">
          <reference field="4294967294" count="1" selected="0">
            <x v="0"/>
          </reference>
          <reference field="10" count="1" selected="0">
            <x v="0"/>
          </reference>
          <reference field="11" count="1" selected="0">
            <x v="51"/>
          </reference>
        </references>
      </pivotArea>
    </chartFormat>
    <chartFormat chart="6" format="64">
      <pivotArea type="data" outline="0" fieldPosition="0">
        <references count="3">
          <reference field="4294967294" count="1" selected="0">
            <x v="0"/>
          </reference>
          <reference field="10" count="1" selected="0">
            <x v="0"/>
          </reference>
          <reference field="11" count="1" selected="0">
            <x v="52"/>
          </reference>
        </references>
      </pivotArea>
    </chartFormat>
    <chartFormat chart="6" format="65">
      <pivotArea type="data" outline="0" fieldPosition="0">
        <references count="3">
          <reference field="4294967294" count="1" selected="0">
            <x v="0"/>
          </reference>
          <reference field="10" count="1" selected="0">
            <x v="0"/>
          </reference>
          <reference field="11" count="1" selected="0">
            <x v="53"/>
          </reference>
        </references>
      </pivotArea>
    </chartFormat>
    <chartFormat chart="6" format="66">
      <pivotArea type="data" outline="0" fieldPosition="0">
        <references count="3">
          <reference field="4294967294" count="1" selected="0">
            <x v="0"/>
          </reference>
          <reference field="10" count="1" selected="0">
            <x v="0"/>
          </reference>
          <reference field="11" count="1" selected="0">
            <x v="54"/>
          </reference>
        </references>
      </pivotArea>
    </chartFormat>
    <chartFormat chart="6" format="67">
      <pivotArea type="data" outline="0" fieldPosition="0">
        <references count="3">
          <reference field="4294967294" count="1" selected="0">
            <x v="0"/>
          </reference>
          <reference field="10" count="1" selected="0">
            <x v="0"/>
          </reference>
          <reference field="11" count="1" selected="0">
            <x v="55"/>
          </reference>
        </references>
      </pivotArea>
    </chartFormat>
    <chartFormat chart="6" format="68">
      <pivotArea type="data" outline="0" fieldPosition="0">
        <references count="3">
          <reference field="4294967294" count="1" selected="0">
            <x v="0"/>
          </reference>
          <reference field="10" count="1" selected="0">
            <x v="0"/>
          </reference>
          <reference field="11" count="1" selected="0">
            <x v="56"/>
          </reference>
        </references>
      </pivotArea>
    </chartFormat>
    <chartFormat chart="6" format="69">
      <pivotArea type="data" outline="0" fieldPosition="0">
        <references count="3">
          <reference field="4294967294" count="1" selected="0">
            <x v="0"/>
          </reference>
          <reference field="10" count="1" selected="0">
            <x v="0"/>
          </reference>
          <reference field="11" count="1" selected="0">
            <x v="57"/>
          </reference>
        </references>
      </pivotArea>
    </chartFormat>
    <chartFormat chart="6" format="70">
      <pivotArea type="data" outline="0" fieldPosition="0">
        <references count="3">
          <reference field="4294967294" count="1" selected="0">
            <x v="1"/>
          </reference>
          <reference field="10" count="1" selected="0">
            <x v="0"/>
          </reference>
          <reference field="11" count="1" selected="0">
            <x v="0"/>
          </reference>
        </references>
      </pivotArea>
    </chartFormat>
    <chartFormat chart="6" format="71">
      <pivotArea type="data" outline="0" fieldPosition="0">
        <references count="3">
          <reference field="4294967294" count="1" selected="0">
            <x v="1"/>
          </reference>
          <reference field="10" count="1" selected="0">
            <x v="0"/>
          </reference>
          <reference field="11" count="1" selected="0">
            <x v="1"/>
          </reference>
        </references>
      </pivotArea>
    </chartFormat>
    <chartFormat chart="6" format="72">
      <pivotArea type="data" outline="0" fieldPosition="0">
        <references count="3">
          <reference field="4294967294" count="1" selected="0">
            <x v="1"/>
          </reference>
          <reference field="10" count="1" selected="0">
            <x v="0"/>
          </reference>
          <reference field="11" count="1" selected="0">
            <x v="2"/>
          </reference>
        </references>
      </pivotArea>
    </chartFormat>
    <chartFormat chart="6" format="73">
      <pivotArea type="data" outline="0" fieldPosition="0">
        <references count="3">
          <reference field="4294967294" count="1" selected="0">
            <x v="1"/>
          </reference>
          <reference field="10" count="1" selected="0">
            <x v="0"/>
          </reference>
          <reference field="11" count="1" selected="0">
            <x v="3"/>
          </reference>
        </references>
      </pivotArea>
    </chartFormat>
    <chartFormat chart="6" format="74">
      <pivotArea type="data" outline="0" fieldPosition="0">
        <references count="3">
          <reference field="4294967294" count="1" selected="0">
            <x v="1"/>
          </reference>
          <reference field="10" count="1" selected="0">
            <x v="0"/>
          </reference>
          <reference field="11" count="1" selected="0">
            <x v="4"/>
          </reference>
        </references>
      </pivotArea>
    </chartFormat>
    <chartFormat chart="6" format="75">
      <pivotArea type="data" outline="0" fieldPosition="0">
        <references count="3">
          <reference field="4294967294" count="1" selected="0">
            <x v="1"/>
          </reference>
          <reference field="10" count="1" selected="0">
            <x v="0"/>
          </reference>
          <reference field="11" count="1" selected="0">
            <x v="5"/>
          </reference>
        </references>
      </pivotArea>
    </chartFormat>
    <chartFormat chart="6" format="76">
      <pivotArea type="data" outline="0" fieldPosition="0">
        <references count="3">
          <reference field="4294967294" count="1" selected="0">
            <x v="1"/>
          </reference>
          <reference field="10" count="1" selected="0">
            <x v="0"/>
          </reference>
          <reference field="11" count="1" selected="0">
            <x v="6"/>
          </reference>
        </references>
      </pivotArea>
    </chartFormat>
    <chartFormat chart="6" format="77">
      <pivotArea type="data" outline="0" fieldPosition="0">
        <references count="3">
          <reference field="4294967294" count="1" selected="0">
            <x v="1"/>
          </reference>
          <reference field="10" count="1" selected="0">
            <x v="0"/>
          </reference>
          <reference field="11" count="1" selected="0">
            <x v="7"/>
          </reference>
        </references>
      </pivotArea>
    </chartFormat>
    <chartFormat chart="6" format="78">
      <pivotArea type="data" outline="0" fieldPosition="0">
        <references count="3">
          <reference field="4294967294" count="1" selected="0">
            <x v="1"/>
          </reference>
          <reference field="10" count="1" selected="0">
            <x v="0"/>
          </reference>
          <reference field="11" count="1" selected="0">
            <x v="8"/>
          </reference>
        </references>
      </pivotArea>
    </chartFormat>
    <chartFormat chart="6" format="79">
      <pivotArea type="data" outline="0" fieldPosition="0">
        <references count="3">
          <reference field="4294967294" count="1" selected="0">
            <x v="1"/>
          </reference>
          <reference field="10" count="1" selected="0">
            <x v="0"/>
          </reference>
          <reference field="11" count="1" selected="0">
            <x v="9"/>
          </reference>
        </references>
      </pivotArea>
    </chartFormat>
    <chartFormat chart="6" format="80">
      <pivotArea type="data" outline="0" fieldPosition="0">
        <references count="3">
          <reference field="4294967294" count="1" selected="0">
            <x v="1"/>
          </reference>
          <reference field="10" count="1" selected="0">
            <x v="0"/>
          </reference>
          <reference field="11" count="1" selected="0">
            <x v="10"/>
          </reference>
        </references>
      </pivotArea>
    </chartFormat>
    <chartFormat chart="6" format="81">
      <pivotArea type="data" outline="0" fieldPosition="0">
        <references count="3">
          <reference field="4294967294" count="1" selected="0">
            <x v="1"/>
          </reference>
          <reference field="10" count="1" selected="0">
            <x v="0"/>
          </reference>
          <reference field="11" count="1" selected="0">
            <x v="11"/>
          </reference>
        </references>
      </pivotArea>
    </chartFormat>
    <chartFormat chart="6" format="82">
      <pivotArea type="data" outline="0" fieldPosition="0">
        <references count="3">
          <reference field="4294967294" count="1" selected="0">
            <x v="1"/>
          </reference>
          <reference field="10" count="1" selected="0">
            <x v="0"/>
          </reference>
          <reference field="11" count="1" selected="0">
            <x v="12"/>
          </reference>
        </references>
      </pivotArea>
    </chartFormat>
    <chartFormat chart="6" format="83">
      <pivotArea type="data" outline="0" fieldPosition="0">
        <references count="3">
          <reference field="4294967294" count="1" selected="0">
            <x v="1"/>
          </reference>
          <reference field="10" count="1" selected="0">
            <x v="0"/>
          </reference>
          <reference field="11" count="1" selected="0">
            <x v="13"/>
          </reference>
        </references>
      </pivotArea>
    </chartFormat>
    <chartFormat chart="6" format="84">
      <pivotArea type="data" outline="0" fieldPosition="0">
        <references count="3">
          <reference field="4294967294" count="1" selected="0">
            <x v="1"/>
          </reference>
          <reference field="10" count="1" selected="0">
            <x v="0"/>
          </reference>
          <reference field="11" count="1" selected="0">
            <x v="14"/>
          </reference>
        </references>
      </pivotArea>
    </chartFormat>
    <chartFormat chart="6" format="85">
      <pivotArea type="data" outline="0" fieldPosition="0">
        <references count="3">
          <reference field="4294967294" count="1" selected="0">
            <x v="1"/>
          </reference>
          <reference field="10" count="1" selected="0">
            <x v="0"/>
          </reference>
          <reference field="11" count="1" selected="0">
            <x v="15"/>
          </reference>
        </references>
      </pivotArea>
    </chartFormat>
    <chartFormat chart="6" format="86">
      <pivotArea type="data" outline="0" fieldPosition="0">
        <references count="3">
          <reference field="4294967294" count="1" selected="0">
            <x v="1"/>
          </reference>
          <reference field="10" count="1" selected="0">
            <x v="0"/>
          </reference>
          <reference field="11" count="1" selected="0">
            <x v="16"/>
          </reference>
        </references>
      </pivotArea>
    </chartFormat>
    <chartFormat chart="6" format="87">
      <pivotArea type="data" outline="0" fieldPosition="0">
        <references count="3">
          <reference field="4294967294" count="1" selected="0">
            <x v="1"/>
          </reference>
          <reference field="10" count="1" selected="0">
            <x v="0"/>
          </reference>
          <reference field="11" count="1" selected="0">
            <x v="17"/>
          </reference>
        </references>
      </pivotArea>
    </chartFormat>
    <chartFormat chart="6" format="88">
      <pivotArea type="data" outline="0" fieldPosition="0">
        <references count="3">
          <reference field="4294967294" count="1" selected="0">
            <x v="1"/>
          </reference>
          <reference field="10" count="1" selected="0">
            <x v="0"/>
          </reference>
          <reference field="11" count="1" selected="0">
            <x v="18"/>
          </reference>
        </references>
      </pivotArea>
    </chartFormat>
    <chartFormat chart="6" format="89">
      <pivotArea type="data" outline="0" fieldPosition="0">
        <references count="3">
          <reference field="4294967294" count="1" selected="0">
            <x v="1"/>
          </reference>
          <reference field="10" count="1" selected="0">
            <x v="0"/>
          </reference>
          <reference field="11" count="1" selected="0">
            <x v="19"/>
          </reference>
        </references>
      </pivotArea>
    </chartFormat>
    <chartFormat chart="6" format="90">
      <pivotArea type="data" outline="0" fieldPosition="0">
        <references count="3">
          <reference field="4294967294" count="1" selected="0">
            <x v="1"/>
          </reference>
          <reference field="10" count="1" selected="0">
            <x v="0"/>
          </reference>
          <reference field="11" count="1" selected="0">
            <x v="20"/>
          </reference>
        </references>
      </pivotArea>
    </chartFormat>
    <chartFormat chart="6" format="91">
      <pivotArea type="data" outline="0" fieldPosition="0">
        <references count="3">
          <reference field="4294967294" count="1" selected="0">
            <x v="1"/>
          </reference>
          <reference field="10" count="1" selected="0">
            <x v="0"/>
          </reference>
          <reference field="11" count="1" selected="0">
            <x v="21"/>
          </reference>
        </references>
      </pivotArea>
    </chartFormat>
    <chartFormat chart="6" format="92">
      <pivotArea type="data" outline="0" fieldPosition="0">
        <references count="3">
          <reference field="4294967294" count="1" selected="0">
            <x v="1"/>
          </reference>
          <reference field="10" count="1" selected="0">
            <x v="0"/>
          </reference>
          <reference field="11" count="1" selected="0">
            <x v="22"/>
          </reference>
        </references>
      </pivotArea>
    </chartFormat>
    <chartFormat chart="6" format="93">
      <pivotArea type="data" outline="0" fieldPosition="0">
        <references count="3">
          <reference field="4294967294" count="1" selected="0">
            <x v="1"/>
          </reference>
          <reference field="10" count="1" selected="0">
            <x v="0"/>
          </reference>
          <reference field="11" count="1" selected="0">
            <x v="23"/>
          </reference>
        </references>
      </pivotArea>
    </chartFormat>
    <chartFormat chart="6" format="94">
      <pivotArea type="data" outline="0" fieldPosition="0">
        <references count="3">
          <reference field="4294967294" count="1" selected="0">
            <x v="1"/>
          </reference>
          <reference field="10" count="1" selected="0">
            <x v="0"/>
          </reference>
          <reference field="11" count="1" selected="0">
            <x v="24"/>
          </reference>
        </references>
      </pivotArea>
    </chartFormat>
    <chartFormat chart="6" format="95">
      <pivotArea type="data" outline="0" fieldPosition="0">
        <references count="3">
          <reference field="4294967294" count="1" selected="0">
            <x v="1"/>
          </reference>
          <reference field="10" count="1" selected="0">
            <x v="0"/>
          </reference>
          <reference field="11" count="1" selected="0">
            <x v="25"/>
          </reference>
        </references>
      </pivotArea>
    </chartFormat>
    <chartFormat chart="6" format="96">
      <pivotArea type="data" outline="0" fieldPosition="0">
        <references count="3">
          <reference field="4294967294" count="1" selected="0">
            <x v="1"/>
          </reference>
          <reference field="10" count="1" selected="0">
            <x v="0"/>
          </reference>
          <reference field="11" count="1" selected="0">
            <x v="26"/>
          </reference>
        </references>
      </pivotArea>
    </chartFormat>
    <chartFormat chart="6" format="97">
      <pivotArea type="data" outline="0" fieldPosition="0">
        <references count="3">
          <reference field="4294967294" count="1" selected="0">
            <x v="1"/>
          </reference>
          <reference field="10" count="1" selected="0">
            <x v="0"/>
          </reference>
          <reference field="11" count="1" selected="0">
            <x v="27"/>
          </reference>
        </references>
      </pivotArea>
    </chartFormat>
    <chartFormat chart="6" format="98">
      <pivotArea type="data" outline="0" fieldPosition="0">
        <references count="3">
          <reference field="4294967294" count="1" selected="0">
            <x v="1"/>
          </reference>
          <reference field="10" count="1" selected="0">
            <x v="0"/>
          </reference>
          <reference field="11" count="1" selected="0">
            <x v="28"/>
          </reference>
        </references>
      </pivotArea>
    </chartFormat>
    <chartFormat chart="6" format="99">
      <pivotArea type="data" outline="0" fieldPosition="0">
        <references count="3">
          <reference field="4294967294" count="1" selected="0">
            <x v="1"/>
          </reference>
          <reference field="10" count="1" selected="0">
            <x v="0"/>
          </reference>
          <reference field="11" count="1" selected="0">
            <x v="29"/>
          </reference>
        </references>
      </pivotArea>
    </chartFormat>
    <chartFormat chart="6" format="100">
      <pivotArea type="data" outline="0" fieldPosition="0">
        <references count="3">
          <reference field="4294967294" count="1" selected="0">
            <x v="1"/>
          </reference>
          <reference field="10" count="1" selected="0">
            <x v="0"/>
          </reference>
          <reference field="11" count="1" selected="0">
            <x v="30"/>
          </reference>
        </references>
      </pivotArea>
    </chartFormat>
    <chartFormat chart="6" format="101">
      <pivotArea type="data" outline="0" fieldPosition="0">
        <references count="3">
          <reference field="4294967294" count="1" selected="0">
            <x v="1"/>
          </reference>
          <reference field="10" count="1" selected="0">
            <x v="0"/>
          </reference>
          <reference field="11" count="1" selected="0">
            <x v="31"/>
          </reference>
        </references>
      </pivotArea>
    </chartFormat>
    <chartFormat chart="6" format="102">
      <pivotArea type="data" outline="0" fieldPosition="0">
        <references count="3">
          <reference field="4294967294" count="1" selected="0">
            <x v="1"/>
          </reference>
          <reference field="10" count="1" selected="0">
            <x v="0"/>
          </reference>
          <reference field="11" count="1" selected="0">
            <x v="32"/>
          </reference>
        </references>
      </pivotArea>
    </chartFormat>
    <chartFormat chart="6" format="103">
      <pivotArea type="data" outline="0" fieldPosition="0">
        <references count="3">
          <reference field="4294967294" count="1" selected="0">
            <x v="1"/>
          </reference>
          <reference field="10" count="1" selected="0">
            <x v="0"/>
          </reference>
          <reference field="11" count="1" selected="0">
            <x v="33"/>
          </reference>
        </references>
      </pivotArea>
    </chartFormat>
    <chartFormat chart="6" format="104">
      <pivotArea type="data" outline="0" fieldPosition="0">
        <references count="3">
          <reference field="4294967294" count="1" selected="0">
            <x v="1"/>
          </reference>
          <reference field="10" count="1" selected="0">
            <x v="0"/>
          </reference>
          <reference field="11" count="1" selected="0">
            <x v="34"/>
          </reference>
        </references>
      </pivotArea>
    </chartFormat>
    <chartFormat chart="6" format="105">
      <pivotArea type="data" outline="0" fieldPosition="0">
        <references count="3">
          <reference field="4294967294" count="1" selected="0">
            <x v="1"/>
          </reference>
          <reference field="10" count="1" selected="0">
            <x v="0"/>
          </reference>
          <reference field="11" count="1" selected="0">
            <x v="35"/>
          </reference>
        </references>
      </pivotArea>
    </chartFormat>
    <chartFormat chart="6" format="106">
      <pivotArea type="data" outline="0" fieldPosition="0">
        <references count="3">
          <reference field="4294967294" count="1" selected="0">
            <x v="1"/>
          </reference>
          <reference field="10" count="1" selected="0">
            <x v="0"/>
          </reference>
          <reference field="11" count="1" selected="0">
            <x v="36"/>
          </reference>
        </references>
      </pivotArea>
    </chartFormat>
    <chartFormat chart="6" format="107">
      <pivotArea type="data" outline="0" fieldPosition="0">
        <references count="3">
          <reference field="4294967294" count="1" selected="0">
            <x v="1"/>
          </reference>
          <reference field="10" count="1" selected="0">
            <x v="0"/>
          </reference>
          <reference field="11" count="1" selected="0">
            <x v="37"/>
          </reference>
        </references>
      </pivotArea>
    </chartFormat>
    <chartFormat chart="6" format="108">
      <pivotArea type="data" outline="0" fieldPosition="0">
        <references count="3">
          <reference field="4294967294" count="1" selected="0">
            <x v="1"/>
          </reference>
          <reference field="10" count="1" selected="0">
            <x v="0"/>
          </reference>
          <reference field="11" count="1" selected="0">
            <x v="38"/>
          </reference>
        </references>
      </pivotArea>
    </chartFormat>
    <chartFormat chart="6" format="109">
      <pivotArea type="data" outline="0" fieldPosition="0">
        <references count="3">
          <reference field="4294967294" count="1" selected="0">
            <x v="1"/>
          </reference>
          <reference field="10" count="1" selected="0">
            <x v="0"/>
          </reference>
          <reference field="11" count="1" selected="0">
            <x v="39"/>
          </reference>
        </references>
      </pivotArea>
    </chartFormat>
    <chartFormat chart="6" format="110">
      <pivotArea type="data" outline="0" fieldPosition="0">
        <references count="3">
          <reference field="4294967294" count="1" selected="0">
            <x v="1"/>
          </reference>
          <reference field="10" count="1" selected="0">
            <x v="0"/>
          </reference>
          <reference field="11" count="1" selected="0">
            <x v="40"/>
          </reference>
        </references>
      </pivotArea>
    </chartFormat>
    <chartFormat chart="6" format="111">
      <pivotArea type="data" outline="0" fieldPosition="0">
        <references count="3">
          <reference field="4294967294" count="1" selected="0">
            <x v="1"/>
          </reference>
          <reference field="10" count="1" selected="0">
            <x v="0"/>
          </reference>
          <reference field="11" count="1" selected="0">
            <x v="41"/>
          </reference>
        </references>
      </pivotArea>
    </chartFormat>
    <chartFormat chart="6" format="112">
      <pivotArea type="data" outline="0" fieldPosition="0">
        <references count="3">
          <reference field="4294967294" count="1" selected="0">
            <x v="1"/>
          </reference>
          <reference field="10" count="1" selected="0">
            <x v="0"/>
          </reference>
          <reference field="11" count="1" selected="0">
            <x v="42"/>
          </reference>
        </references>
      </pivotArea>
    </chartFormat>
    <chartFormat chart="6" format="113">
      <pivotArea type="data" outline="0" fieldPosition="0">
        <references count="3">
          <reference field="4294967294" count="1" selected="0">
            <x v="1"/>
          </reference>
          <reference field="10" count="1" selected="0">
            <x v="0"/>
          </reference>
          <reference field="11" count="1" selected="0">
            <x v="43"/>
          </reference>
        </references>
      </pivotArea>
    </chartFormat>
    <chartFormat chart="6" format="114">
      <pivotArea type="data" outline="0" fieldPosition="0">
        <references count="3">
          <reference field="4294967294" count="1" selected="0">
            <x v="1"/>
          </reference>
          <reference field="10" count="1" selected="0">
            <x v="0"/>
          </reference>
          <reference field="11" count="1" selected="0">
            <x v="44"/>
          </reference>
        </references>
      </pivotArea>
    </chartFormat>
    <chartFormat chart="6" format="115">
      <pivotArea type="data" outline="0" fieldPosition="0">
        <references count="3">
          <reference field="4294967294" count="1" selected="0">
            <x v="1"/>
          </reference>
          <reference field="10" count="1" selected="0">
            <x v="0"/>
          </reference>
          <reference field="11" count="1" selected="0">
            <x v="45"/>
          </reference>
        </references>
      </pivotArea>
    </chartFormat>
    <chartFormat chart="6" format="116">
      <pivotArea type="data" outline="0" fieldPosition="0">
        <references count="3">
          <reference field="4294967294" count="1" selected="0">
            <x v="1"/>
          </reference>
          <reference field="10" count="1" selected="0">
            <x v="0"/>
          </reference>
          <reference field="11" count="1" selected="0">
            <x v="46"/>
          </reference>
        </references>
      </pivotArea>
    </chartFormat>
    <chartFormat chart="6" format="117">
      <pivotArea type="data" outline="0" fieldPosition="0">
        <references count="3">
          <reference field="4294967294" count="1" selected="0">
            <x v="1"/>
          </reference>
          <reference field="10" count="1" selected="0">
            <x v="0"/>
          </reference>
          <reference field="11" count="1" selected="0">
            <x v="47"/>
          </reference>
        </references>
      </pivotArea>
    </chartFormat>
    <chartFormat chart="6" format="118">
      <pivotArea type="data" outline="0" fieldPosition="0">
        <references count="3">
          <reference field="4294967294" count="1" selected="0">
            <x v="1"/>
          </reference>
          <reference field="10" count="1" selected="0">
            <x v="0"/>
          </reference>
          <reference field="11" count="1" selected="0">
            <x v="48"/>
          </reference>
        </references>
      </pivotArea>
    </chartFormat>
    <chartFormat chart="6" format="119">
      <pivotArea type="data" outline="0" fieldPosition="0">
        <references count="3">
          <reference field="4294967294" count="1" selected="0">
            <x v="1"/>
          </reference>
          <reference field="10" count="1" selected="0">
            <x v="0"/>
          </reference>
          <reference field="11" count="1" selected="0">
            <x v="49"/>
          </reference>
        </references>
      </pivotArea>
    </chartFormat>
    <chartFormat chart="6" format="120">
      <pivotArea type="data" outline="0" fieldPosition="0">
        <references count="3">
          <reference field="4294967294" count="1" selected="0">
            <x v="1"/>
          </reference>
          <reference field="10" count="1" selected="0">
            <x v="0"/>
          </reference>
          <reference field="11" count="1" selected="0">
            <x v="50"/>
          </reference>
        </references>
      </pivotArea>
    </chartFormat>
    <chartFormat chart="6" format="121">
      <pivotArea type="data" outline="0" fieldPosition="0">
        <references count="3">
          <reference field="4294967294" count="1" selected="0">
            <x v="1"/>
          </reference>
          <reference field="10" count="1" selected="0">
            <x v="0"/>
          </reference>
          <reference field="11" count="1" selected="0">
            <x v="51"/>
          </reference>
        </references>
      </pivotArea>
    </chartFormat>
    <chartFormat chart="6" format="122">
      <pivotArea type="data" outline="0" fieldPosition="0">
        <references count="3">
          <reference field="4294967294" count="1" selected="0">
            <x v="1"/>
          </reference>
          <reference field="10" count="1" selected="0">
            <x v="0"/>
          </reference>
          <reference field="11" count="1" selected="0">
            <x v="52"/>
          </reference>
        </references>
      </pivotArea>
    </chartFormat>
    <chartFormat chart="6" format="123">
      <pivotArea type="data" outline="0" fieldPosition="0">
        <references count="3">
          <reference field="4294967294" count="1" selected="0">
            <x v="1"/>
          </reference>
          <reference field="10" count="1" selected="0">
            <x v="0"/>
          </reference>
          <reference field="11" count="1" selected="0">
            <x v="53"/>
          </reference>
        </references>
      </pivotArea>
    </chartFormat>
    <chartFormat chart="6" format="124">
      <pivotArea type="data" outline="0" fieldPosition="0">
        <references count="3">
          <reference field="4294967294" count="1" selected="0">
            <x v="1"/>
          </reference>
          <reference field="10" count="1" selected="0">
            <x v="0"/>
          </reference>
          <reference field="11" count="1" selected="0">
            <x v="54"/>
          </reference>
        </references>
      </pivotArea>
    </chartFormat>
    <chartFormat chart="6" format="125">
      <pivotArea type="data" outline="0" fieldPosition="0">
        <references count="3">
          <reference field="4294967294" count="1" selected="0">
            <x v="1"/>
          </reference>
          <reference field="10" count="1" selected="0">
            <x v="0"/>
          </reference>
          <reference field="11" count="1" selected="0">
            <x v="55"/>
          </reference>
        </references>
      </pivotArea>
    </chartFormat>
    <chartFormat chart="6" format="126">
      <pivotArea type="data" outline="0" fieldPosition="0">
        <references count="3">
          <reference field="4294967294" count="1" selected="0">
            <x v="1"/>
          </reference>
          <reference field="10" count="1" selected="0">
            <x v="0"/>
          </reference>
          <reference field="11" count="1" selected="0">
            <x v="56"/>
          </reference>
        </references>
      </pivotArea>
    </chartFormat>
    <chartFormat chart="6" format="127">
      <pivotArea type="data" outline="0" fieldPosition="0">
        <references count="3">
          <reference field="4294967294" count="1" selected="0">
            <x v="1"/>
          </reference>
          <reference field="10" count="1" selected="0">
            <x v="0"/>
          </reference>
          <reference field="11" count="1" selected="0">
            <x v="57"/>
          </reference>
        </references>
      </pivotArea>
    </chartFormat>
    <chartFormat chart="1" format="6">
      <pivotArea type="data" outline="0" fieldPosition="0">
        <references count="3">
          <reference field="4294967294" count="1" selected="0">
            <x v="0"/>
          </reference>
          <reference field="10" count="1" selected="0">
            <x v="0"/>
          </reference>
          <reference field="11" count="1" selected="0">
            <x v="0"/>
          </reference>
        </references>
      </pivotArea>
    </chartFormat>
    <chartFormat chart="1" format="7">
      <pivotArea type="data" outline="0" fieldPosition="0">
        <references count="3">
          <reference field="4294967294" count="1" selected="0">
            <x v="0"/>
          </reference>
          <reference field="10" count="1" selected="0">
            <x v="0"/>
          </reference>
          <reference field="11" count="1" selected="0">
            <x v="1"/>
          </reference>
        </references>
      </pivotArea>
    </chartFormat>
    <chartFormat chart="1" format="8">
      <pivotArea type="data" outline="0" fieldPosition="0">
        <references count="3">
          <reference field="4294967294" count="1" selected="0">
            <x v="0"/>
          </reference>
          <reference field="10" count="1" selected="0">
            <x v="0"/>
          </reference>
          <reference field="11" count="1" selected="0">
            <x v="2"/>
          </reference>
        </references>
      </pivotArea>
    </chartFormat>
    <chartFormat chart="1" format="9">
      <pivotArea type="data" outline="0" fieldPosition="0">
        <references count="3">
          <reference field="4294967294" count="1" selected="0">
            <x v="0"/>
          </reference>
          <reference field="10" count="1" selected="0">
            <x v="0"/>
          </reference>
          <reference field="11" count="1" selected="0">
            <x v="3"/>
          </reference>
        </references>
      </pivotArea>
    </chartFormat>
    <chartFormat chart="1" format="10">
      <pivotArea type="data" outline="0" fieldPosition="0">
        <references count="3">
          <reference field="4294967294" count="1" selected="0">
            <x v="0"/>
          </reference>
          <reference field="10" count="1" selected="0">
            <x v="0"/>
          </reference>
          <reference field="11" count="1" selected="0">
            <x v="4"/>
          </reference>
        </references>
      </pivotArea>
    </chartFormat>
    <chartFormat chart="1" format="11">
      <pivotArea type="data" outline="0" fieldPosition="0">
        <references count="3">
          <reference field="4294967294" count="1" selected="0">
            <x v="0"/>
          </reference>
          <reference field="10" count="1" selected="0">
            <x v="0"/>
          </reference>
          <reference field="11" count="1" selected="0">
            <x v="5"/>
          </reference>
        </references>
      </pivotArea>
    </chartFormat>
    <chartFormat chart="1" format="12">
      <pivotArea type="data" outline="0" fieldPosition="0">
        <references count="3">
          <reference field="4294967294" count="1" selected="0">
            <x v="0"/>
          </reference>
          <reference field="10" count="1" selected="0">
            <x v="0"/>
          </reference>
          <reference field="11" count="1" selected="0">
            <x v="6"/>
          </reference>
        </references>
      </pivotArea>
    </chartFormat>
    <chartFormat chart="1" format="13">
      <pivotArea type="data" outline="0" fieldPosition="0">
        <references count="3">
          <reference field="4294967294" count="1" selected="0">
            <x v="0"/>
          </reference>
          <reference field="10" count="1" selected="0">
            <x v="0"/>
          </reference>
          <reference field="11" count="1" selected="0">
            <x v="7"/>
          </reference>
        </references>
      </pivotArea>
    </chartFormat>
    <chartFormat chart="1" format="14">
      <pivotArea type="data" outline="0" fieldPosition="0">
        <references count="3">
          <reference field="4294967294" count="1" selected="0">
            <x v="0"/>
          </reference>
          <reference field="10" count="1" selected="0">
            <x v="0"/>
          </reference>
          <reference field="11" count="1" selected="0">
            <x v="8"/>
          </reference>
        </references>
      </pivotArea>
    </chartFormat>
    <chartFormat chart="1" format="15">
      <pivotArea type="data" outline="0" fieldPosition="0">
        <references count="3">
          <reference field="4294967294" count="1" selected="0">
            <x v="0"/>
          </reference>
          <reference field="10" count="1" selected="0">
            <x v="0"/>
          </reference>
          <reference field="11" count="1" selected="0">
            <x v="9"/>
          </reference>
        </references>
      </pivotArea>
    </chartFormat>
    <chartFormat chart="1" format="16">
      <pivotArea type="data" outline="0" fieldPosition="0">
        <references count="3">
          <reference field="4294967294" count="1" selected="0">
            <x v="0"/>
          </reference>
          <reference field="10" count="1" selected="0">
            <x v="0"/>
          </reference>
          <reference field="11" count="1" selected="0">
            <x v="10"/>
          </reference>
        </references>
      </pivotArea>
    </chartFormat>
    <chartFormat chart="1" format="17">
      <pivotArea type="data" outline="0" fieldPosition="0">
        <references count="3">
          <reference field="4294967294" count="1" selected="0">
            <x v="0"/>
          </reference>
          <reference field="10" count="1" selected="0">
            <x v="0"/>
          </reference>
          <reference field="11" count="1" selected="0">
            <x v="11"/>
          </reference>
        </references>
      </pivotArea>
    </chartFormat>
    <chartFormat chart="1" format="18">
      <pivotArea type="data" outline="0" fieldPosition="0">
        <references count="3">
          <reference field="4294967294" count="1" selected="0">
            <x v="0"/>
          </reference>
          <reference field="10" count="1" selected="0">
            <x v="0"/>
          </reference>
          <reference field="11" count="1" selected="0">
            <x v="12"/>
          </reference>
        </references>
      </pivotArea>
    </chartFormat>
    <chartFormat chart="1" format="19">
      <pivotArea type="data" outline="0" fieldPosition="0">
        <references count="3">
          <reference field="4294967294" count="1" selected="0">
            <x v="0"/>
          </reference>
          <reference field="10" count="1" selected="0">
            <x v="0"/>
          </reference>
          <reference field="11" count="1" selected="0">
            <x v="13"/>
          </reference>
        </references>
      </pivotArea>
    </chartFormat>
    <chartFormat chart="1" format="20">
      <pivotArea type="data" outline="0" fieldPosition="0">
        <references count="3">
          <reference field="4294967294" count="1" selected="0">
            <x v="0"/>
          </reference>
          <reference field="10" count="1" selected="0">
            <x v="0"/>
          </reference>
          <reference field="11" count="1" selected="0">
            <x v="14"/>
          </reference>
        </references>
      </pivotArea>
    </chartFormat>
    <chartFormat chart="1" format="21">
      <pivotArea type="data" outline="0" fieldPosition="0">
        <references count="3">
          <reference field="4294967294" count="1" selected="0">
            <x v="0"/>
          </reference>
          <reference field="10" count="1" selected="0">
            <x v="0"/>
          </reference>
          <reference field="11" count="1" selected="0">
            <x v="15"/>
          </reference>
        </references>
      </pivotArea>
    </chartFormat>
    <chartFormat chart="1" format="22">
      <pivotArea type="data" outline="0" fieldPosition="0">
        <references count="3">
          <reference field="4294967294" count="1" selected="0">
            <x v="0"/>
          </reference>
          <reference field="10" count="1" selected="0">
            <x v="0"/>
          </reference>
          <reference field="11" count="1" selected="0">
            <x v="16"/>
          </reference>
        </references>
      </pivotArea>
    </chartFormat>
    <chartFormat chart="1" format="23">
      <pivotArea type="data" outline="0" fieldPosition="0">
        <references count="3">
          <reference field="4294967294" count="1" selected="0">
            <x v="0"/>
          </reference>
          <reference field="10" count="1" selected="0">
            <x v="0"/>
          </reference>
          <reference field="11" count="1" selected="0">
            <x v="17"/>
          </reference>
        </references>
      </pivotArea>
    </chartFormat>
    <chartFormat chart="1" format="24">
      <pivotArea type="data" outline="0" fieldPosition="0">
        <references count="3">
          <reference field="4294967294" count="1" selected="0">
            <x v="0"/>
          </reference>
          <reference field="10" count="1" selected="0">
            <x v="0"/>
          </reference>
          <reference field="11" count="1" selected="0">
            <x v="18"/>
          </reference>
        </references>
      </pivotArea>
    </chartFormat>
    <chartFormat chart="1" format="25">
      <pivotArea type="data" outline="0" fieldPosition="0">
        <references count="3">
          <reference field="4294967294" count="1" selected="0">
            <x v="0"/>
          </reference>
          <reference field="10" count="1" selected="0">
            <x v="0"/>
          </reference>
          <reference field="11" count="1" selected="0">
            <x v="19"/>
          </reference>
        </references>
      </pivotArea>
    </chartFormat>
    <chartFormat chart="1" format="26">
      <pivotArea type="data" outline="0" fieldPosition="0">
        <references count="3">
          <reference field="4294967294" count="1" selected="0">
            <x v="0"/>
          </reference>
          <reference field="10" count="1" selected="0">
            <x v="0"/>
          </reference>
          <reference field="11" count="1" selected="0">
            <x v="20"/>
          </reference>
        </references>
      </pivotArea>
    </chartFormat>
    <chartFormat chart="1" format="27">
      <pivotArea type="data" outline="0" fieldPosition="0">
        <references count="3">
          <reference field="4294967294" count="1" selected="0">
            <x v="0"/>
          </reference>
          <reference field="10" count="1" selected="0">
            <x v="0"/>
          </reference>
          <reference field="11" count="1" selected="0">
            <x v="21"/>
          </reference>
        </references>
      </pivotArea>
    </chartFormat>
    <chartFormat chart="1" format="28">
      <pivotArea type="data" outline="0" fieldPosition="0">
        <references count="3">
          <reference field="4294967294" count="1" selected="0">
            <x v="0"/>
          </reference>
          <reference field="10" count="1" selected="0">
            <x v="0"/>
          </reference>
          <reference field="11" count="1" selected="0">
            <x v="22"/>
          </reference>
        </references>
      </pivotArea>
    </chartFormat>
    <chartFormat chart="1" format="29">
      <pivotArea type="data" outline="0" fieldPosition="0">
        <references count="3">
          <reference field="4294967294" count="1" selected="0">
            <x v="0"/>
          </reference>
          <reference field="10" count="1" selected="0">
            <x v="0"/>
          </reference>
          <reference field="11" count="1" selected="0">
            <x v="23"/>
          </reference>
        </references>
      </pivotArea>
    </chartFormat>
    <chartFormat chart="1" format="30">
      <pivotArea type="data" outline="0" fieldPosition="0">
        <references count="3">
          <reference field="4294967294" count="1" selected="0">
            <x v="0"/>
          </reference>
          <reference field="10" count="1" selected="0">
            <x v="0"/>
          </reference>
          <reference field="11" count="1" selected="0">
            <x v="24"/>
          </reference>
        </references>
      </pivotArea>
    </chartFormat>
    <chartFormat chart="1" format="31">
      <pivotArea type="data" outline="0" fieldPosition="0">
        <references count="3">
          <reference field="4294967294" count="1" selected="0">
            <x v="0"/>
          </reference>
          <reference field="10" count="1" selected="0">
            <x v="0"/>
          </reference>
          <reference field="11" count="1" selected="0">
            <x v="25"/>
          </reference>
        </references>
      </pivotArea>
    </chartFormat>
    <chartFormat chart="1" format="32">
      <pivotArea type="data" outline="0" fieldPosition="0">
        <references count="3">
          <reference field="4294967294" count="1" selected="0">
            <x v="0"/>
          </reference>
          <reference field="10" count="1" selected="0">
            <x v="0"/>
          </reference>
          <reference field="11" count="1" selected="0">
            <x v="26"/>
          </reference>
        </references>
      </pivotArea>
    </chartFormat>
    <chartFormat chart="1" format="33">
      <pivotArea type="data" outline="0" fieldPosition="0">
        <references count="3">
          <reference field="4294967294" count="1" selected="0">
            <x v="0"/>
          </reference>
          <reference field="10" count="1" selected="0">
            <x v="0"/>
          </reference>
          <reference field="11" count="1" selected="0">
            <x v="27"/>
          </reference>
        </references>
      </pivotArea>
    </chartFormat>
    <chartFormat chart="1" format="34">
      <pivotArea type="data" outline="0" fieldPosition="0">
        <references count="3">
          <reference field="4294967294" count="1" selected="0">
            <x v="0"/>
          </reference>
          <reference field="10" count="1" selected="0">
            <x v="0"/>
          </reference>
          <reference field="11" count="1" selected="0">
            <x v="28"/>
          </reference>
        </references>
      </pivotArea>
    </chartFormat>
    <chartFormat chart="1" format="35">
      <pivotArea type="data" outline="0" fieldPosition="0">
        <references count="3">
          <reference field="4294967294" count="1" selected="0">
            <x v="0"/>
          </reference>
          <reference field="10" count="1" selected="0">
            <x v="0"/>
          </reference>
          <reference field="11" count="1" selected="0">
            <x v="29"/>
          </reference>
        </references>
      </pivotArea>
    </chartFormat>
    <chartFormat chart="1" format="36">
      <pivotArea type="data" outline="0" fieldPosition="0">
        <references count="3">
          <reference field="4294967294" count="1" selected="0">
            <x v="0"/>
          </reference>
          <reference field="10" count="1" selected="0">
            <x v="0"/>
          </reference>
          <reference field="11" count="1" selected="0">
            <x v="30"/>
          </reference>
        </references>
      </pivotArea>
    </chartFormat>
    <chartFormat chart="1" format="37">
      <pivotArea type="data" outline="0" fieldPosition="0">
        <references count="3">
          <reference field="4294967294" count="1" selected="0">
            <x v="0"/>
          </reference>
          <reference field="10" count="1" selected="0">
            <x v="0"/>
          </reference>
          <reference field="11" count="1" selected="0">
            <x v="31"/>
          </reference>
        </references>
      </pivotArea>
    </chartFormat>
    <chartFormat chart="1" format="38">
      <pivotArea type="data" outline="0" fieldPosition="0">
        <references count="3">
          <reference field="4294967294" count="1" selected="0">
            <x v="0"/>
          </reference>
          <reference field="10" count="1" selected="0">
            <x v="0"/>
          </reference>
          <reference field="11" count="1" selected="0">
            <x v="32"/>
          </reference>
        </references>
      </pivotArea>
    </chartFormat>
    <chartFormat chart="1" format="39">
      <pivotArea type="data" outline="0" fieldPosition="0">
        <references count="3">
          <reference field="4294967294" count="1" selected="0">
            <x v="0"/>
          </reference>
          <reference field="10" count="1" selected="0">
            <x v="0"/>
          </reference>
          <reference field="11" count="1" selected="0">
            <x v="33"/>
          </reference>
        </references>
      </pivotArea>
    </chartFormat>
    <chartFormat chart="1" format="40">
      <pivotArea type="data" outline="0" fieldPosition="0">
        <references count="3">
          <reference field="4294967294" count="1" selected="0">
            <x v="0"/>
          </reference>
          <reference field="10" count="1" selected="0">
            <x v="0"/>
          </reference>
          <reference field="11" count="1" selected="0">
            <x v="34"/>
          </reference>
        </references>
      </pivotArea>
    </chartFormat>
    <chartFormat chart="1" format="41">
      <pivotArea type="data" outline="0" fieldPosition="0">
        <references count="3">
          <reference field="4294967294" count="1" selected="0">
            <x v="0"/>
          </reference>
          <reference field="10" count="1" selected="0">
            <x v="0"/>
          </reference>
          <reference field="11" count="1" selected="0">
            <x v="35"/>
          </reference>
        </references>
      </pivotArea>
    </chartFormat>
    <chartFormat chart="1" format="42">
      <pivotArea type="data" outline="0" fieldPosition="0">
        <references count="3">
          <reference field="4294967294" count="1" selected="0">
            <x v="0"/>
          </reference>
          <reference field="10" count="1" selected="0">
            <x v="0"/>
          </reference>
          <reference field="11" count="1" selected="0">
            <x v="36"/>
          </reference>
        </references>
      </pivotArea>
    </chartFormat>
    <chartFormat chart="1" format="43">
      <pivotArea type="data" outline="0" fieldPosition="0">
        <references count="3">
          <reference field="4294967294" count="1" selected="0">
            <x v="0"/>
          </reference>
          <reference field="10" count="1" selected="0">
            <x v="0"/>
          </reference>
          <reference field="11" count="1" selected="0">
            <x v="37"/>
          </reference>
        </references>
      </pivotArea>
    </chartFormat>
    <chartFormat chart="1" format="44">
      <pivotArea type="data" outline="0" fieldPosition="0">
        <references count="3">
          <reference field="4294967294" count="1" selected="0">
            <x v="0"/>
          </reference>
          <reference field="10" count="1" selected="0">
            <x v="0"/>
          </reference>
          <reference field="11" count="1" selected="0">
            <x v="38"/>
          </reference>
        </references>
      </pivotArea>
    </chartFormat>
    <chartFormat chart="1" format="45">
      <pivotArea type="data" outline="0" fieldPosition="0">
        <references count="3">
          <reference field="4294967294" count="1" selected="0">
            <x v="0"/>
          </reference>
          <reference field="10" count="1" selected="0">
            <x v="0"/>
          </reference>
          <reference field="11" count="1" selected="0">
            <x v="39"/>
          </reference>
        </references>
      </pivotArea>
    </chartFormat>
    <chartFormat chart="1" format="46">
      <pivotArea type="data" outline="0" fieldPosition="0">
        <references count="3">
          <reference field="4294967294" count="1" selected="0">
            <x v="0"/>
          </reference>
          <reference field="10" count="1" selected="0">
            <x v="0"/>
          </reference>
          <reference field="11" count="1" selected="0">
            <x v="40"/>
          </reference>
        </references>
      </pivotArea>
    </chartFormat>
    <chartFormat chart="1" format="47">
      <pivotArea type="data" outline="0" fieldPosition="0">
        <references count="3">
          <reference field="4294967294" count="1" selected="0">
            <x v="0"/>
          </reference>
          <reference field="10" count="1" selected="0">
            <x v="0"/>
          </reference>
          <reference field="11" count="1" selected="0">
            <x v="41"/>
          </reference>
        </references>
      </pivotArea>
    </chartFormat>
    <chartFormat chart="1" format="48">
      <pivotArea type="data" outline="0" fieldPosition="0">
        <references count="3">
          <reference field="4294967294" count="1" selected="0">
            <x v="0"/>
          </reference>
          <reference field="10" count="1" selected="0">
            <x v="0"/>
          </reference>
          <reference field="11" count="1" selected="0">
            <x v="42"/>
          </reference>
        </references>
      </pivotArea>
    </chartFormat>
    <chartFormat chart="1" format="49">
      <pivotArea type="data" outline="0" fieldPosition="0">
        <references count="3">
          <reference field="4294967294" count="1" selected="0">
            <x v="0"/>
          </reference>
          <reference field="10" count="1" selected="0">
            <x v="0"/>
          </reference>
          <reference field="11" count="1" selected="0">
            <x v="43"/>
          </reference>
        </references>
      </pivotArea>
    </chartFormat>
    <chartFormat chart="1" format="50">
      <pivotArea type="data" outline="0" fieldPosition="0">
        <references count="3">
          <reference field="4294967294" count="1" selected="0">
            <x v="0"/>
          </reference>
          <reference field="10" count="1" selected="0">
            <x v="0"/>
          </reference>
          <reference field="11" count="1" selected="0">
            <x v="44"/>
          </reference>
        </references>
      </pivotArea>
    </chartFormat>
    <chartFormat chart="1" format="51">
      <pivotArea type="data" outline="0" fieldPosition="0">
        <references count="3">
          <reference field="4294967294" count="1" selected="0">
            <x v="0"/>
          </reference>
          <reference field="10" count="1" selected="0">
            <x v="0"/>
          </reference>
          <reference field="11" count="1" selected="0">
            <x v="45"/>
          </reference>
        </references>
      </pivotArea>
    </chartFormat>
    <chartFormat chart="1" format="52">
      <pivotArea type="data" outline="0" fieldPosition="0">
        <references count="3">
          <reference field="4294967294" count="1" selected="0">
            <x v="0"/>
          </reference>
          <reference field="10" count="1" selected="0">
            <x v="0"/>
          </reference>
          <reference field="11" count="1" selected="0">
            <x v="46"/>
          </reference>
        </references>
      </pivotArea>
    </chartFormat>
    <chartFormat chart="1" format="53">
      <pivotArea type="data" outline="0" fieldPosition="0">
        <references count="3">
          <reference field="4294967294" count="1" selected="0">
            <x v="0"/>
          </reference>
          <reference field="10" count="1" selected="0">
            <x v="0"/>
          </reference>
          <reference field="11" count="1" selected="0">
            <x v="47"/>
          </reference>
        </references>
      </pivotArea>
    </chartFormat>
    <chartFormat chart="1" format="54">
      <pivotArea type="data" outline="0" fieldPosition="0">
        <references count="3">
          <reference field="4294967294" count="1" selected="0">
            <x v="0"/>
          </reference>
          <reference field="10" count="1" selected="0">
            <x v="0"/>
          </reference>
          <reference field="11" count="1" selected="0">
            <x v="48"/>
          </reference>
        </references>
      </pivotArea>
    </chartFormat>
    <chartFormat chart="1" format="55">
      <pivotArea type="data" outline="0" fieldPosition="0">
        <references count="3">
          <reference field="4294967294" count="1" selected="0">
            <x v="0"/>
          </reference>
          <reference field="10" count="1" selected="0">
            <x v="0"/>
          </reference>
          <reference field="11" count="1" selected="0">
            <x v="49"/>
          </reference>
        </references>
      </pivotArea>
    </chartFormat>
    <chartFormat chart="1" format="56">
      <pivotArea type="data" outline="0" fieldPosition="0">
        <references count="3">
          <reference field="4294967294" count="1" selected="0">
            <x v="0"/>
          </reference>
          <reference field="10" count="1" selected="0">
            <x v="0"/>
          </reference>
          <reference field="11" count="1" selected="0">
            <x v="50"/>
          </reference>
        </references>
      </pivotArea>
    </chartFormat>
    <chartFormat chart="1" format="57">
      <pivotArea type="data" outline="0" fieldPosition="0">
        <references count="3">
          <reference field="4294967294" count="1" selected="0">
            <x v="0"/>
          </reference>
          <reference field="10" count="1" selected="0">
            <x v="0"/>
          </reference>
          <reference field="11" count="1" selected="0">
            <x v="51"/>
          </reference>
        </references>
      </pivotArea>
    </chartFormat>
    <chartFormat chart="1" format="58">
      <pivotArea type="data" outline="0" fieldPosition="0">
        <references count="3">
          <reference field="4294967294" count="1" selected="0">
            <x v="0"/>
          </reference>
          <reference field="10" count="1" selected="0">
            <x v="0"/>
          </reference>
          <reference field="11" count="1" selected="0">
            <x v="52"/>
          </reference>
        </references>
      </pivotArea>
    </chartFormat>
    <chartFormat chart="1" format="59">
      <pivotArea type="data" outline="0" fieldPosition="0">
        <references count="3">
          <reference field="4294967294" count="1" selected="0">
            <x v="0"/>
          </reference>
          <reference field="10" count="1" selected="0">
            <x v="0"/>
          </reference>
          <reference field="11" count="1" selected="0">
            <x v="53"/>
          </reference>
        </references>
      </pivotArea>
    </chartFormat>
    <chartFormat chart="1" format="60">
      <pivotArea type="data" outline="0" fieldPosition="0">
        <references count="3">
          <reference field="4294967294" count="1" selected="0">
            <x v="0"/>
          </reference>
          <reference field="10" count="1" selected="0">
            <x v="0"/>
          </reference>
          <reference field="11" count="1" selected="0">
            <x v="54"/>
          </reference>
        </references>
      </pivotArea>
    </chartFormat>
    <chartFormat chart="1" format="61">
      <pivotArea type="data" outline="0" fieldPosition="0">
        <references count="3">
          <reference field="4294967294" count="1" selected="0">
            <x v="0"/>
          </reference>
          <reference field="10" count="1" selected="0">
            <x v="0"/>
          </reference>
          <reference field="11" count="1" selected="0">
            <x v="55"/>
          </reference>
        </references>
      </pivotArea>
    </chartFormat>
    <chartFormat chart="1" format="62">
      <pivotArea type="data" outline="0" fieldPosition="0">
        <references count="3">
          <reference field="4294967294" count="1" selected="0">
            <x v="0"/>
          </reference>
          <reference field="10" count="1" selected="0">
            <x v="0"/>
          </reference>
          <reference field="11" count="1" selected="0">
            <x v="56"/>
          </reference>
        </references>
      </pivotArea>
    </chartFormat>
    <chartFormat chart="1" format="63">
      <pivotArea type="data" outline="0" fieldPosition="0">
        <references count="3">
          <reference field="4294967294" count="1" selected="0">
            <x v="0"/>
          </reference>
          <reference field="10" count="1" selected="0">
            <x v="0"/>
          </reference>
          <reference field="11" count="1" selected="0">
            <x v="57"/>
          </reference>
        </references>
      </pivotArea>
    </chartFormat>
    <chartFormat chart="1" format="64">
      <pivotArea type="data" outline="0" fieldPosition="0">
        <references count="3">
          <reference field="4294967294" count="1" selected="0">
            <x v="1"/>
          </reference>
          <reference field="10" count="1" selected="0">
            <x v="0"/>
          </reference>
          <reference field="11" count="1" selected="0">
            <x v="0"/>
          </reference>
        </references>
      </pivotArea>
    </chartFormat>
    <chartFormat chart="1" format="65">
      <pivotArea type="data" outline="0" fieldPosition="0">
        <references count="3">
          <reference field="4294967294" count="1" selected="0">
            <x v="1"/>
          </reference>
          <reference field="10" count="1" selected="0">
            <x v="0"/>
          </reference>
          <reference field="11" count="1" selected="0">
            <x v="1"/>
          </reference>
        </references>
      </pivotArea>
    </chartFormat>
    <chartFormat chart="1" format="66">
      <pivotArea type="data" outline="0" fieldPosition="0">
        <references count="3">
          <reference field="4294967294" count="1" selected="0">
            <x v="1"/>
          </reference>
          <reference field="10" count="1" selected="0">
            <x v="0"/>
          </reference>
          <reference field="11" count="1" selected="0">
            <x v="2"/>
          </reference>
        </references>
      </pivotArea>
    </chartFormat>
    <chartFormat chart="1" format="67">
      <pivotArea type="data" outline="0" fieldPosition="0">
        <references count="3">
          <reference field="4294967294" count="1" selected="0">
            <x v="1"/>
          </reference>
          <reference field="10" count="1" selected="0">
            <x v="0"/>
          </reference>
          <reference field="11" count="1" selected="0">
            <x v="3"/>
          </reference>
        </references>
      </pivotArea>
    </chartFormat>
    <chartFormat chart="1" format="68">
      <pivotArea type="data" outline="0" fieldPosition="0">
        <references count="3">
          <reference field="4294967294" count="1" selected="0">
            <x v="1"/>
          </reference>
          <reference field="10" count="1" selected="0">
            <x v="0"/>
          </reference>
          <reference field="11" count="1" selected="0">
            <x v="4"/>
          </reference>
        </references>
      </pivotArea>
    </chartFormat>
    <chartFormat chart="1" format="69">
      <pivotArea type="data" outline="0" fieldPosition="0">
        <references count="3">
          <reference field="4294967294" count="1" selected="0">
            <x v="1"/>
          </reference>
          <reference field="10" count="1" selected="0">
            <x v="0"/>
          </reference>
          <reference field="11" count="1" selected="0">
            <x v="5"/>
          </reference>
        </references>
      </pivotArea>
    </chartFormat>
    <chartFormat chart="1" format="70">
      <pivotArea type="data" outline="0" fieldPosition="0">
        <references count="3">
          <reference field="4294967294" count="1" selected="0">
            <x v="1"/>
          </reference>
          <reference field="10" count="1" selected="0">
            <x v="0"/>
          </reference>
          <reference field="11" count="1" selected="0">
            <x v="6"/>
          </reference>
        </references>
      </pivotArea>
    </chartFormat>
    <chartFormat chart="1" format="71">
      <pivotArea type="data" outline="0" fieldPosition="0">
        <references count="3">
          <reference field="4294967294" count="1" selected="0">
            <x v="1"/>
          </reference>
          <reference field="10" count="1" selected="0">
            <x v="0"/>
          </reference>
          <reference field="11" count="1" selected="0">
            <x v="7"/>
          </reference>
        </references>
      </pivotArea>
    </chartFormat>
    <chartFormat chart="1" format="72">
      <pivotArea type="data" outline="0" fieldPosition="0">
        <references count="3">
          <reference field="4294967294" count="1" selected="0">
            <x v="1"/>
          </reference>
          <reference field="10" count="1" selected="0">
            <x v="0"/>
          </reference>
          <reference field="11" count="1" selected="0">
            <x v="8"/>
          </reference>
        </references>
      </pivotArea>
    </chartFormat>
    <chartFormat chart="1" format="73">
      <pivotArea type="data" outline="0" fieldPosition="0">
        <references count="3">
          <reference field="4294967294" count="1" selected="0">
            <x v="1"/>
          </reference>
          <reference field="10" count="1" selected="0">
            <x v="0"/>
          </reference>
          <reference field="11" count="1" selected="0">
            <x v="9"/>
          </reference>
        </references>
      </pivotArea>
    </chartFormat>
    <chartFormat chart="1" format="74">
      <pivotArea type="data" outline="0" fieldPosition="0">
        <references count="3">
          <reference field="4294967294" count="1" selected="0">
            <x v="1"/>
          </reference>
          <reference field="10" count="1" selected="0">
            <x v="0"/>
          </reference>
          <reference field="11" count="1" selected="0">
            <x v="10"/>
          </reference>
        </references>
      </pivotArea>
    </chartFormat>
    <chartFormat chart="1" format="75">
      <pivotArea type="data" outline="0" fieldPosition="0">
        <references count="3">
          <reference field="4294967294" count="1" selected="0">
            <x v="1"/>
          </reference>
          <reference field="10" count="1" selected="0">
            <x v="0"/>
          </reference>
          <reference field="11" count="1" selected="0">
            <x v="11"/>
          </reference>
        </references>
      </pivotArea>
    </chartFormat>
    <chartFormat chart="1" format="76">
      <pivotArea type="data" outline="0" fieldPosition="0">
        <references count="3">
          <reference field="4294967294" count="1" selected="0">
            <x v="1"/>
          </reference>
          <reference field="10" count="1" selected="0">
            <x v="0"/>
          </reference>
          <reference field="11" count="1" selected="0">
            <x v="12"/>
          </reference>
        </references>
      </pivotArea>
    </chartFormat>
    <chartFormat chart="1" format="77">
      <pivotArea type="data" outline="0" fieldPosition="0">
        <references count="3">
          <reference field="4294967294" count="1" selected="0">
            <x v="1"/>
          </reference>
          <reference field="10" count="1" selected="0">
            <x v="0"/>
          </reference>
          <reference field="11" count="1" selected="0">
            <x v="13"/>
          </reference>
        </references>
      </pivotArea>
    </chartFormat>
    <chartFormat chart="1" format="78">
      <pivotArea type="data" outline="0" fieldPosition="0">
        <references count="3">
          <reference field="4294967294" count="1" selected="0">
            <x v="1"/>
          </reference>
          <reference field="10" count="1" selected="0">
            <x v="0"/>
          </reference>
          <reference field="11" count="1" selected="0">
            <x v="14"/>
          </reference>
        </references>
      </pivotArea>
    </chartFormat>
    <chartFormat chart="1" format="79">
      <pivotArea type="data" outline="0" fieldPosition="0">
        <references count="3">
          <reference field="4294967294" count="1" selected="0">
            <x v="1"/>
          </reference>
          <reference field="10" count="1" selected="0">
            <x v="0"/>
          </reference>
          <reference field="11" count="1" selected="0">
            <x v="15"/>
          </reference>
        </references>
      </pivotArea>
    </chartFormat>
    <chartFormat chart="1" format="80">
      <pivotArea type="data" outline="0" fieldPosition="0">
        <references count="3">
          <reference field="4294967294" count="1" selected="0">
            <x v="1"/>
          </reference>
          <reference field="10" count="1" selected="0">
            <x v="0"/>
          </reference>
          <reference field="11" count="1" selected="0">
            <x v="16"/>
          </reference>
        </references>
      </pivotArea>
    </chartFormat>
    <chartFormat chart="1" format="81">
      <pivotArea type="data" outline="0" fieldPosition="0">
        <references count="3">
          <reference field="4294967294" count="1" selected="0">
            <x v="1"/>
          </reference>
          <reference field="10" count="1" selected="0">
            <x v="0"/>
          </reference>
          <reference field="11" count="1" selected="0">
            <x v="17"/>
          </reference>
        </references>
      </pivotArea>
    </chartFormat>
    <chartFormat chart="1" format="82">
      <pivotArea type="data" outline="0" fieldPosition="0">
        <references count="3">
          <reference field="4294967294" count="1" selected="0">
            <x v="1"/>
          </reference>
          <reference field="10" count="1" selected="0">
            <x v="0"/>
          </reference>
          <reference field="11" count="1" selected="0">
            <x v="18"/>
          </reference>
        </references>
      </pivotArea>
    </chartFormat>
    <chartFormat chart="1" format="83">
      <pivotArea type="data" outline="0" fieldPosition="0">
        <references count="3">
          <reference field="4294967294" count="1" selected="0">
            <x v="1"/>
          </reference>
          <reference field="10" count="1" selected="0">
            <x v="0"/>
          </reference>
          <reference field="11" count="1" selected="0">
            <x v="19"/>
          </reference>
        </references>
      </pivotArea>
    </chartFormat>
    <chartFormat chart="1" format="84">
      <pivotArea type="data" outline="0" fieldPosition="0">
        <references count="3">
          <reference field="4294967294" count="1" selected="0">
            <x v="1"/>
          </reference>
          <reference field="10" count="1" selected="0">
            <x v="0"/>
          </reference>
          <reference field="11" count="1" selected="0">
            <x v="20"/>
          </reference>
        </references>
      </pivotArea>
    </chartFormat>
    <chartFormat chart="1" format="85">
      <pivotArea type="data" outline="0" fieldPosition="0">
        <references count="3">
          <reference field="4294967294" count="1" selected="0">
            <x v="1"/>
          </reference>
          <reference field="10" count="1" selected="0">
            <x v="0"/>
          </reference>
          <reference field="11" count="1" selected="0">
            <x v="21"/>
          </reference>
        </references>
      </pivotArea>
    </chartFormat>
    <chartFormat chart="1" format="86">
      <pivotArea type="data" outline="0" fieldPosition="0">
        <references count="3">
          <reference field="4294967294" count="1" selected="0">
            <x v="1"/>
          </reference>
          <reference field="10" count="1" selected="0">
            <x v="0"/>
          </reference>
          <reference field="11" count="1" selected="0">
            <x v="22"/>
          </reference>
        </references>
      </pivotArea>
    </chartFormat>
    <chartFormat chart="1" format="87">
      <pivotArea type="data" outline="0" fieldPosition="0">
        <references count="3">
          <reference field="4294967294" count="1" selected="0">
            <x v="1"/>
          </reference>
          <reference field="10" count="1" selected="0">
            <x v="0"/>
          </reference>
          <reference field="11" count="1" selected="0">
            <x v="23"/>
          </reference>
        </references>
      </pivotArea>
    </chartFormat>
    <chartFormat chart="1" format="88">
      <pivotArea type="data" outline="0" fieldPosition="0">
        <references count="3">
          <reference field="4294967294" count="1" selected="0">
            <x v="1"/>
          </reference>
          <reference field="10" count="1" selected="0">
            <x v="0"/>
          </reference>
          <reference field="11" count="1" selected="0">
            <x v="24"/>
          </reference>
        </references>
      </pivotArea>
    </chartFormat>
    <chartFormat chart="1" format="89">
      <pivotArea type="data" outline="0" fieldPosition="0">
        <references count="3">
          <reference field="4294967294" count="1" selected="0">
            <x v="1"/>
          </reference>
          <reference field="10" count="1" selected="0">
            <x v="0"/>
          </reference>
          <reference field="11" count="1" selected="0">
            <x v="25"/>
          </reference>
        </references>
      </pivotArea>
    </chartFormat>
    <chartFormat chart="1" format="90">
      <pivotArea type="data" outline="0" fieldPosition="0">
        <references count="3">
          <reference field="4294967294" count="1" selected="0">
            <x v="1"/>
          </reference>
          <reference field="10" count="1" selected="0">
            <x v="0"/>
          </reference>
          <reference field="11" count="1" selected="0">
            <x v="26"/>
          </reference>
        </references>
      </pivotArea>
    </chartFormat>
    <chartFormat chart="1" format="91">
      <pivotArea type="data" outline="0" fieldPosition="0">
        <references count="3">
          <reference field="4294967294" count="1" selected="0">
            <x v="1"/>
          </reference>
          <reference field="10" count="1" selected="0">
            <x v="0"/>
          </reference>
          <reference field="11" count="1" selected="0">
            <x v="27"/>
          </reference>
        </references>
      </pivotArea>
    </chartFormat>
    <chartFormat chart="1" format="92">
      <pivotArea type="data" outline="0" fieldPosition="0">
        <references count="3">
          <reference field="4294967294" count="1" selected="0">
            <x v="1"/>
          </reference>
          <reference field="10" count="1" selected="0">
            <x v="0"/>
          </reference>
          <reference field="11" count="1" selected="0">
            <x v="28"/>
          </reference>
        </references>
      </pivotArea>
    </chartFormat>
    <chartFormat chart="1" format="93">
      <pivotArea type="data" outline="0" fieldPosition="0">
        <references count="3">
          <reference field="4294967294" count="1" selected="0">
            <x v="1"/>
          </reference>
          <reference field="10" count="1" selected="0">
            <x v="0"/>
          </reference>
          <reference field="11" count="1" selected="0">
            <x v="29"/>
          </reference>
        </references>
      </pivotArea>
    </chartFormat>
    <chartFormat chart="1" format="94">
      <pivotArea type="data" outline="0" fieldPosition="0">
        <references count="3">
          <reference field="4294967294" count="1" selected="0">
            <x v="1"/>
          </reference>
          <reference field="10" count="1" selected="0">
            <x v="0"/>
          </reference>
          <reference field="11" count="1" selected="0">
            <x v="30"/>
          </reference>
        </references>
      </pivotArea>
    </chartFormat>
    <chartFormat chart="1" format="95">
      <pivotArea type="data" outline="0" fieldPosition="0">
        <references count="3">
          <reference field="4294967294" count="1" selected="0">
            <x v="1"/>
          </reference>
          <reference field="10" count="1" selected="0">
            <x v="0"/>
          </reference>
          <reference field="11" count="1" selected="0">
            <x v="31"/>
          </reference>
        </references>
      </pivotArea>
    </chartFormat>
    <chartFormat chart="1" format="96">
      <pivotArea type="data" outline="0" fieldPosition="0">
        <references count="3">
          <reference field="4294967294" count="1" selected="0">
            <x v="1"/>
          </reference>
          <reference field="10" count="1" selected="0">
            <x v="0"/>
          </reference>
          <reference field="11" count="1" selected="0">
            <x v="32"/>
          </reference>
        </references>
      </pivotArea>
    </chartFormat>
    <chartFormat chart="1" format="97">
      <pivotArea type="data" outline="0" fieldPosition="0">
        <references count="3">
          <reference field="4294967294" count="1" selected="0">
            <x v="1"/>
          </reference>
          <reference field="10" count="1" selected="0">
            <x v="0"/>
          </reference>
          <reference field="11" count="1" selected="0">
            <x v="33"/>
          </reference>
        </references>
      </pivotArea>
    </chartFormat>
    <chartFormat chart="1" format="98">
      <pivotArea type="data" outline="0" fieldPosition="0">
        <references count="3">
          <reference field="4294967294" count="1" selected="0">
            <x v="1"/>
          </reference>
          <reference field="10" count="1" selected="0">
            <x v="0"/>
          </reference>
          <reference field="11" count="1" selected="0">
            <x v="34"/>
          </reference>
        </references>
      </pivotArea>
    </chartFormat>
    <chartFormat chart="1" format="99">
      <pivotArea type="data" outline="0" fieldPosition="0">
        <references count="3">
          <reference field="4294967294" count="1" selected="0">
            <x v="1"/>
          </reference>
          <reference field="10" count="1" selected="0">
            <x v="0"/>
          </reference>
          <reference field="11" count="1" selected="0">
            <x v="35"/>
          </reference>
        </references>
      </pivotArea>
    </chartFormat>
    <chartFormat chart="1" format="100">
      <pivotArea type="data" outline="0" fieldPosition="0">
        <references count="3">
          <reference field="4294967294" count="1" selected="0">
            <x v="1"/>
          </reference>
          <reference field="10" count="1" selected="0">
            <x v="0"/>
          </reference>
          <reference field="11" count="1" selected="0">
            <x v="36"/>
          </reference>
        </references>
      </pivotArea>
    </chartFormat>
    <chartFormat chart="1" format="101">
      <pivotArea type="data" outline="0" fieldPosition="0">
        <references count="3">
          <reference field="4294967294" count="1" selected="0">
            <x v="1"/>
          </reference>
          <reference field="10" count="1" selected="0">
            <x v="0"/>
          </reference>
          <reference field="11" count="1" selected="0">
            <x v="37"/>
          </reference>
        </references>
      </pivotArea>
    </chartFormat>
    <chartFormat chart="1" format="102">
      <pivotArea type="data" outline="0" fieldPosition="0">
        <references count="3">
          <reference field="4294967294" count="1" selected="0">
            <x v="1"/>
          </reference>
          <reference field="10" count="1" selected="0">
            <x v="0"/>
          </reference>
          <reference field="11" count="1" selected="0">
            <x v="38"/>
          </reference>
        </references>
      </pivotArea>
    </chartFormat>
    <chartFormat chart="1" format="103">
      <pivotArea type="data" outline="0" fieldPosition="0">
        <references count="3">
          <reference field="4294967294" count="1" selected="0">
            <x v="1"/>
          </reference>
          <reference field="10" count="1" selected="0">
            <x v="0"/>
          </reference>
          <reference field="11" count="1" selected="0">
            <x v="39"/>
          </reference>
        </references>
      </pivotArea>
    </chartFormat>
    <chartFormat chart="1" format="104">
      <pivotArea type="data" outline="0" fieldPosition="0">
        <references count="3">
          <reference field="4294967294" count="1" selected="0">
            <x v="1"/>
          </reference>
          <reference field="10" count="1" selected="0">
            <x v="0"/>
          </reference>
          <reference field="11" count="1" selected="0">
            <x v="40"/>
          </reference>
        </references>
      </pivotArea>
    </chartFormat>
    <chartFormat chart="1" format="105">
      <pivotArea type="data" outline="0" fieldPosition="0">
        <references count="3">
          <reference field="4294967294" count="1" selected="0">
            <x v="1"/>
          </reference>
          <reference field="10" count="1" selected="0">
            <x v="0"/>
          </reference>
          <reference field="11" count="1" selected="0">
            <x v="41"/>
          </reference>
        </references>
      </pivotArea>
    </chartFormat>
    <chartFormat chart="1" format="106">
      <pivotArea type="data" outline="0" fieldPosition="0">
        <references count="3">
          <reference field="4294967294" count="1" selected="0">
            <x v="1"/>
          </reference>
          <reference field="10" count="1" selected="0">
            <x v="0"/>
          </reference>
          <reference field="11" count="1" selected="0">
            <x v="42"/>
          </reference>
        </references>
      </pivotArea>
    </chartFormat>
    <chartFormat chart="1" format="107">
      <pivotArea type="data" outline="0" fieldPosition="0">
        <references count="3">
          <reference field="4294967294" count="1" selected="0">
            <x v="1"/>
          </reference>
          <reference field="10" count="1" selected="0">
            <x v="0"/>
          </reference>
          <reference field="11" count="1" selected="0">
            <x v="43"/>
          </reference>
        </references>
      </pivotArea>
    </chartFormat>
    <chartFormat chart="1" format="108">
      <pivotArea type="data" outline="0" fieldPosition="0">
        <references count="3">
          <reference field="4294967294" count="1" selected="0">
            <x v="1"/>
          </reference>
          <reference field="10" count="1" selected="0">
            <x v="0"/>
          </reference>
          <reference field="11" count="1" selected="0">
            <x v="44"/>
          </reference>
        </references>
      </pivotArea>
    </chartFormat>
    <chartFormat chart="1" format="109">
      <pivotArea type="data" outline="0" fieldPosition="0">
        <references count="3">
          <reference field="4294967294" count="1" selected="0">
            <x v="1"/>
          </reference>
          <reference field="10" count="1" selected="0">
            <x v="0"/>
          </reference>
          <reference field="11" count="1" selected="0">
            <x v="45"/>
          </reference>
        </references>
      </pivotArea>
    </chartFormat>
    <chartFormat chart="1" format="110">
      <pivotArea type="data" outline="0" fieldPosition="0">
        <references count="3">
          <reference field="4294967294" count="1" selected="0">
            <x v="1"/>
          </reference>
          <reference field="10" count="1" selected="0">
            <x v="0"/>
          </reference>
          <reference field="11" count="1" selected="0">
            <x v="46"/>
          </reference>
        </references>
      </pivotArea>
    </chartFormat>
    <chartFormat chart="1" format="111">
      <pivotArea type="data" outline="0" fieldPosition="0">
        <references count="3">
          <reference field="4294967294" count="1" selected="0">
            <x v="1"/>
          </reference>
          <reference field="10" count="1" selected="0">
            <x v="0"/>
          </reference>
          <reference field="11" count="1" selected="0">
            <x v="47"/>
          </reference>
        </references>
      </pivotArea>
    </chartFormat>
    <chartFormat chart="1" format="112">
      <pivotArea type="data" outline="0" fieldPosition="0">
        <references count="3">
          <reference field="4294967294" count="1" selected="0">
            <x v="1"/>
          </reference>
          <reference field="10" count="1" selected="0">
            <x v="0"/>
          </reference>
          <reference field="11" count="1" selected="0">
            <x v="48"/>
          </reference>
        </references>
      </pivotArea>
    </chartFormat>
    <chartFormat chart="1" format="113">
      <pivotArea type="data" outline="0" fieldPosition="0">
        <references count="3">
          <reference field="4294967294" count="1" selected="0">
            <x v="1"/>
          </reference>
          <reference field="10" count="1" selected="0">
            <x v="0"/>
          </reference>
          <reference field="11" count="1" selected="0">
            <x v="49"/>
          </reference>
        </references>
      </pivotArea>
    </chartFormat>
    <chartFormat chart="1" format="114">
      <pivotArea type="data" outline="0" fieldPosition="0">
        <references count="3">
          <reference field="4294967294" count="1" selected="0">
            <x v="1"/>
          </reference>
          <reference field="10" count="1" selected="0">
            <x v="0"/>
          </reference>
          <reference field="11" count="1" selected="0">
            <x v="50"/>
          </reference>
        </references>
      </pivotArea>
    </chartFormat>
    <chartFormat chart="1" format="115">
      <pivotArea type="data" outline="0" fieldPosition="0">
        <references count="3">
          <reference field="4294967294" count="1" selected="0">
            <x v="1"/>
          </reference>
          <reference field="10" count="1" selected="0">
            <x v="0"/>
          </reference>
          <reference field="11" count="1" selected="0">
            <x v="51"/>
          </reference>
        </references>
      </pivotArea>
    </chartFormat>
    <chartFormat chart="1" format="116">
      <pivotArea type="data" outline="0" fieldPosition="0">
        <references count="3">
          <reference field="4294967294" count="1" selected="0">
            <x v="1"/>
          </reference>
          <reference field="10" count="1" selected="0">
            <x v="0"/>
          </reference>
          <reference field="11" count="1" selected="0">
            <x v="52"/>
          </reference>
        </references>
      </pivotArea>
    </chartFormat>
    <chartFormat chart="1" format="117">
      <pivotArea type="data" outline="0" fieldPosition="0">
        <references count="3">
          <reference field="4294967294" count="1" selected="0">
            <x v="1"/>
          </reference>
          <reference field="10" count="1" selected="0">
            <x v="0"/>
          </reference>
          <reference field="11" count="1" selected="0">
            <x v="53"/>
          </reference>
        </references>
      </pivotArea>
    </chartFormat>
    <chartFormat chart="1" format="118">
      <pivotArea type="data" outline="0" fieldPosition="0">
        <references count="3">
          <reference field="4294967294" count="1" selected="0">
            <x v="1"/>
          </reference>
          <reference field="10" count="1" selected="0">
            <x v="0"/>
          </reference>
          <reference field="11" count="1" selected="0">
            <x v="54"/>
          </reference>
        </references>
      </pivotArea>
    </chartFormat>
    <chartFormat chart="1" format="119">
      <pivotArea type="data" outline="0" fieldPosition="0">
        <references count="3">
          <reference field="4294967294" count="1" selected="0">
            <x v="1"/>
          </reference>
          <reference field="10" count="1" selected="0">
            <x v="0"/>
          </reference>
          <reference field="11" count="1" selected="0">
            <x v="55"/>
          </reference>
        </references>
      </pivotArea>
    </chartFormat>
    <chartFormat chart="1" format="120">
      <pivotArea type="data" outline="0" fieldPosition="0">
        <references count="3">
          <reference field="4294967294" count="1" selected="0">
            <x v="1"/>
          </reference>
          <reference field="10" count="1" selected="0">
            <x v="0"/>
          </reference>
          <reference field="11" count="1" selected="0">
            <x v="56"/>
          </reference>
        </references>
      </pivotArea>
    </chartFormat>
    <chartFormat chart="1" format="121">
      <pivotArea type="data" outline="0" fieldPosition="0">
        <references count="3">
          <reference field="4294967294" count="1" selected="0">
            <x v="1"/>
          </reference>
          <reference field="10" count="1" selected="0">
            <x v="0"/>
          </reference>
          <reference field="11"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BC2467-B6C0-43F3-9862-CA9D40FFB51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6">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528FA-652B-4824-AF45-D2C838BE50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277D5F-0795-47F0-A265-AE379CC6BB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10" firstHeaderRow="1" firstDataRow="2"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s>
  <rowFields count="1">
    <field x="9"/>
  </rowFields>
  <rowItems count="6">
    <i>
      <x/>
    </i>
    <i>
      <x v="1"/>
    </i>
    <i>
      <x v="2"/>
    </i>
    <i>
      <x v="3"/>
    </i>
    <i>
      <x v="4"/>
    </i>
    <i t="grand">
      <x/>
    </i>
  </rowItems>
  <colFields count="1">
    <field x="14"/>
  </colFields>
  <colItems count="5">
    <i>
      <x/>
    </i>
    <i>
      <x v="1"/>
    </i>
    <i>
      <x v="2"/>
    </i>
    <i>
      <x v="3"/>
    </i>
    <i t="grand">
      <x/>
    </i>
  </colItems>
  <dataFields count="1">
    <dataField name="Count of TX ID" fld="0" subtotal="count" baseField="0" baseItem="0"/>
  </dataFields>
  <chartFormats count="16">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C09769-03B0-4F4B-9DBE-4B211D6E18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4D8F6A-D710-41F4-96AC-F593D9547D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3:C27"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42"/>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644596B-C444-47E4-BE2D-45FEBA3394AA}" sourceName="Order Mode">
  <pivotTables>
    <pivotTable tabId="15" name="PivotTable3"/>
    <pivotTable tabId="7" name="PivotTable1"/>
    <pivotTable tabId="5" name="PivotTable1"/>
    <pivotTable tabId="5" name="PivotTable2"/>
    <pivotTable tabId="12" name="PivotTable1"/>
    <pivotTable tabId="6" name="PivotTable3"/>
    <pivotTable tabId="8" name="PivotTable2"/>
    <pivotTable tabId="9" name="PivotTable3"/>
    <pivotTable tabId="10" name="PivotTable4"/>
    <pivotTable tabId="11" name="PivotTable5"/>
    <pivotTable tabId="14" name="PivotTable2"/>
  </pivotTables>
  <data>
    <tabular pivotCacheId="2136906888">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0FC5899-6305-429C-9070-E5C875C8D2FF}" cache="Slicer_Order_Mode" caption="Order Mod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17DF4FD-D4C8-418F-96A3-A6B22FD87FC8}"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4E52-381F-4FEB-A7AE-72E8B5C4510D}">
  <dimension ref="A3:L10"/>
  <sheetViews>
    <sheetView workbookViewId="0">
      <selection activeCell="C7" sqref="C7"/>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s>
  <sheetData>
    <row r="3" spans="1:12" x14ac:dyDescent="0.3">
      <c r="A3" s="11" t="s">
        <v>2550</v>
      </c>
      <c r="B3" s="11" t="s">
        <v>2559</v>
      </c>
    </row>
    <row r="4" spans="1:12" x14ac:dyDescent="0.3">
      <c r="A4" s="11" t="s">
        <v>2557</v>
      </c>
      <c r="B4" t="s">
        <v>2560</v>
      </c>
      <c r="C4" t="s">
        <v>2561</v>
      </c>
      <c r="D4" t="s">
        <v>2562</v>
      </c>
      <c r="E4" t="s">
        <v>2563</v>
      </c>
      <c r="F4" t="s">
        <v>2558</v>
      </c>
      <c r="I4" t="str">
        <f>B4</f>
        <v>Female</v>
      </c>
      <c r="J4" t="str">
        <f t="shared" ref="J4:L4" si="0">C4</f>
        <v>Male</v>
      </c>
      <c r="K4" t="str">
        <f t="shared" si="0"/>
        <v>Other</v>
      </c>
      <c r="L4" t="str">
        <f t="shared" si="0"/>
        <v>Unknown</v>
      </c>
    </row>
    <row r="5" spans="1:12" x14ac:dyDescent="0.3">
      <c r="A5" s="12" t="s">
        <v>18</v>
      </c>
      <c r="B5" s="14">
        <v>0.18961825201634841</v>
      </c>
      <c r="C5" s="14">
        <v>0.12262322351336576</v>
      </c>
      <c r="D5" s="14">
        <v>1.060537752469185E-2</v>
      </c>
      <c r="E5" s="14">
        <v>3.0599220547662797E-2</v>
      </c>
      <c r="F5" s="14">
        <v>0.35344607360206881</v>
      </c>
      <c r="H5" t="str">
        <f>A5</f>
        <v>App</v>
      </c>
      <c r="I5" s="15">
        <f t="shared" ref="I5:L5" si="1">B5</f>
        <v>0.18961825201634841</v>
      </c>
      <c r="J5" s="15">
        <f t="shared" si="1"/>
        <v>0.12262322351336576</v>
      </c>
      <c r="K5" s="15">
        <f t="shared" si="1"/>
        <v>1.060537752469185E-2</v>
      </c>
      <c r="L5" s="15">
        <f t="shared" si="1"/>
        <v>3.0599220547662797E-2</v>
      </c>
    </row>
    <row r="6" spans="1:12" x14ac:dyDescent="0.3">
      <c r="A6" s="12" t="s">
        <v>51</v>
      </c>
      <c r="B6" s="14">
        <v>5.0283982091147303E-2</v>
      </c>
      <c r="C6" s="14">
        <v>4.3060781812819873E-2</v>
      </c>
      <c r="D6" s="14">
        <v>1.5320025675641944E-3</v>
      </c>
      <c r="E6" s="14">
        <v>1.7794988689097006E-2</v>
      </c>
      <c r="F6" s="14">
        <v>0.11267175516062837</v>
      </c>
      <c r="H6" t="str">
        <f t="shared" ref="H6:H9" si="2">A6</f>
        <v>Instagram</v>
      </c>
      <c r="I6" s="15">
        <f t="shared" ref="I6:I9" si="3">B6</f>
        <v>5.0283982091147303E-2</v>
      </c>
      <c r="J6" s="15">
        <f t="shared" ref="J6:J9" si="4">C6</f>
        <v>4.3060781812819873E-2</v>
      </c>
      <c r="K6" s="15">
        <f t="shared" ref="K6:K9" si="5">D6</f>
        <v>1.5320025675641944E-3</v>
      </c>
      <c r="L6" s="15">
        <f t="shared" ref="L6:L9" si="6">E6</f>
        <v>1.7794988689097006E-2</v>
      </c>
    </row>
    <row r="7" spans="1:12" x14ac:dyDescent="0.3">
      <c r="A7" s="12" t="s">
        <v>70</v>
      </c>
      <c r="B7" s="14">
        <v>6.3496059750411282E-2</v>
      </c>
      <c r="C7" s="14">
        <v>4.6071629863988765E-2</v>
      </c>
      <c r="D7" s="14">
        <v>2.306247051322625E-3</v>
      </c>
      <c r="E7" s="14">
        <v>3.8927934093844286E-3</v>
      </c>
      <c r="F7" s="14">
        <v>0.11576673007510711</v>
      </c>
      <c r="H7" t="str">
        <f t="shared" si="2"/>
        <v>Partner App</v>
      </c>
      <c r="I7" s="15">
        <f t="shared" si="3"/>
        <v>6.3496059750411282E-2</v>
      </c>
      <c r="J7" s="15">
        <f t="shared" si="4"/>
        <v>4.6071629863988765E-2</v>
      </c>
      <c r="K7" s="15">
        <f t="shared" si="5"/>
        <v>2.306247051322625E-3</v>
      </c>
      <c r="L7" s="15">
        <f t="shared" si="6"/>
        <v>3.8927934093844286E-3</v>
      </c>
    </row>
    <row r="8" spans="1:12" x14ac:dyDescent="0.3">
      <c r="A8" s="12" t="s">
        <v>40</v>
      </c>
      <c r="B8" s="14">
        <v>9.6337892927149532E-2</v>
      </c>
      <c r="C8" s="14">
        <v>6.7920115842382611E-2</v>
      </c>
      <c r="D8" s="14">
        <v>5.4979832664581261E-3</v>
      </c>
      <c r="E8" s="14">
        <v>1.2933041488102518E-2</v>
      </c>
      <c r="F8" s="14">
        <v>0.1826890335240928</v>
      </c>
      <c r="H8" t="str">
        <f t="shared" si="2"/>
        <v>Target.com</v>
      </c>
      <c r="I8" s="15">
        <f t="shared" si="3"/>
        <v>9.6337892927149532E-2</v>
      </c>
      <c r="J8" s="15">
        <f t="shared" si="4"/>
        <v>6.7920115842382611E-2</v>
      </c>
      <c r="K8" s="15">
        <f t="shared" si="5"/>
        <v>5.4979832664581261E-3</v>
      </c>
      <c r="L8" s="15">
        <f t="shared" si="6"/>
        <v>1.2933041488102518E-2</v>
      </c>
    </row>
    <row r="9" spans="1:12" x14ac:dyDescent="0.3">
      <c r="A9" s="12" t="s">
        <v>35</v>
      </c>
      <c r="B9" s="14">
        <v>0.12522098709469262</v>
      </c>
      <c r="C9" s="14">
        <v>9.1492740283116228E-2</v>
      </c>
      <c r="D9" s="14">
        <v>6.3042760790965081E-3</v>
      </c>
      <c r="E9" s="14">
        <v>1.2408404181197551E-2</v>
      </c>
      <c r="F9" s="14">
        <v>0.23542640763810288</v>
      </c>
      <c r="H9" t="str">
        <f t="shared" si="2"/>
        <v>Website</v>
      </c>
      <c r="I9" s="15">
        <f t="shared" si="3"/>
        <v>0.12522098709469262</v>
      </c>
      <c r="J9" s="15">
        <f t="shared" si="4"/>
        <v>9.1492740283116228E-2</v>
      </c>
      <c r="K9" s="15">
        <f t="shared" si="5"/>
        <v>6.3042760790965081E-3</v>
      </c>
      <c r="L9" s="15">
        <f t="shared" si="6"/>
        <v>1.2408404181197551E-2</v>
      </c>
    </row>
    <row r="10" spans="1:12" x14ac:dyDescent="0.3">
      <c r="A10" s="12" t="s">
        <v>2558</v>
      </c>
      <c r="B10" s="14">
        <v>0.52495717387974916</v>
      </c>
      <c r="C10" s="14">
        <v>0.3711684913156732</v>
      </c>
      <c r="D10" s="14">
        <v>2.6245886489133303E-2</v>
      </c>
      <c r="E10" s="14">
        <v>7.7628448315444312E-2</v>
      </c>
      <c r="F10" s="14">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C75E-5DDF-41F1-AA9E-6C66B5A92DFD}">
  <dimension ref="A3:L10"/>
  <sheetViews>
    <sheetView workbookViewId="0">
      <selection activeCell="AJ49" sqref="AJ49"/>
    </sheetView>
  </sheetViews>
  <sheetFormatPr defaultRowHeight="14.4" x14ac:dyDescent="0.3"/>
  <cols>
    <col min="1" max="1" width="13.5546875" bestFit="1" customWidth="1"/>
    <col min="2" max="2" width="15.5546875" bestFit="1" customWidth="1"/>
    <col min="3" max="3" width="5" bestFit="1" customWidth="1"/>
    <col min="4" max="4" width="5.6640625" bestFit="1" customWidth="1"/>
    <col min="5" max="5" width="8.5546875" bestFit="1" customWidth="1"/>
    <col min="6" max="6" width="10.5546875" bestFit="1" customWidth="1"/>
    <col min="8" max="8" width="10.44140625" bestFit="1" customWidth="1"/>
    <col min="9" max="12" width="12.109375" bestFit="1" customWidth="1"/>
  </cols>
  <sheetData>
    <row r="3" spans="1:12" x14ac:dyDescent="0.3">
      <c r="A3" s="18" t="s">
        <v>2550</v>
      </c>
      <c r="B3" s="18" t="s">
        <v>2559</v>
      </c>
      <c r="C3" s="19"/>
      <c r="D3" s="19"/>
      <c r="E3" s="19"/>
      <c r="F3" s="19"/>
    </row>
    <row r="4" spans="1:12" x14ac:dyDescent="0.3">
      <c r="A4" s="18" t="s">
        <v>2557</v>
      </c>
      <c r="B4" s="19" t="s">
        <v>2560</v>
      </c>
      <c r="C4" s="19" t="s">
        <v>2561</v>
      </c>
      <c r="D4" s="19" t="s">
        <v>2562</v>
      </c>
      <c r="E4" s="19" t="s">
        <v>2563</v>
      </c>
      <c r="F4" s="19" t="s">
        <v>2558</v>
      </c>
      <c r="I4" t="s">
        <v>2560</v>
      </c>
      <c r="J4" t="s">
        <v>2561</v>
      </c>
      <c r="K4" t="s">
        <v>2562</v>
      </c>
      <c r="L4" t="s">
        <v>2563</v>
      </c>
    </row>
    <row r="5" spans="1:12" x14ac:dyDescent="0.3">
      <c r="A5" s="20" t="s">
        <v>18</v>
      </c>
      <c r="B5" s="19">
        <v>0.18961825201634841</v>
      </c>
      <c r="C5" s="19">
        <v>0.12262322351336576</v>
      </c>
      <c r="D5" s="19">
        <v>1.060537752469185E-2</v>
      </c>
      <c r="E5" s="19">
        <v>3.0599220547662797E-2</v>
      </c>
      <c r="F5" s="19">
        <v>0.35344607360206881</v>
      </c>
      <c r="H5" t="s">
        <v>18</v>
      </c>
      <c r="I5" s="15">
        <v>0.18961825201634841</v>
      </c>
      <c r="J5" s="15">
        <v>0.12262322351336576</v>
      </c>
      <c r="K5" s="15">
        <v>1.060537752469185E-2</v>
      </c>
      <c r="L5" s="15">
        <v>3.0599220547662797E-2</v>
      </c>
    </row>
    <row r="6" spans="1:12" x14ac:dyDescent="0.3">
      <c r="A6" s="20" t="s">
        <v>51</v>
      </c>
      <c r="B6" s="19">
        <v>5.0283982091147303E-2</v>
      </c>
      <c r="C6" s="19">
        <v>4.3060781812819873E-2</v>
      </c>
      <c r="D6" s="19">
        <v>1.5320025675641944E-3</v>
      </c>
      <c r="E6" s="19">
        <v>1.7794988689097006E-2</v>
      </c>
      <c r="F6" s="19">
        <v>0.11267175516062837</v>
      </c>
      <c r="H6" t="s">
        <v>51</v>
      </c>
      <c r="I6" s="15">
        <v>5.0283982091147303E-2</v>
      </c>
      <c r="J6" s="15">
        <v>4.3060781812819873E-2</v>
      </c>
      <c r="K6" s="15">
        <v>1.5320025675641944E-3</v>
      </c>
      <c r="L6" s="15">
        <v>1.7794988689097006E-2</v>
      </c>
    </row>
    <row r="7" spans="1:12" x14ac:dyDescent="0.3">
      <c r="A7" s="20" t="s">
        <v>70</v>
      </c>
      <c r="B7" s="19">
        <v>6.3496059750411282E-2</v>
      </c>
      <c r="C7" s="19">
        <v>4.6071629863988765E-2</v>
      </c>
      <c r="D7" s="19">
        <v>2.306247051322625E-3</v>
      </c>
      <c r="E7" s="19">
        <v>3.8927934093844286E-3</v>
      </c>
      <c r="F7" s="19">
        <v>0.11576673007510711</v>
      </c>
      <c r="H7" t="s">
        <v>70</v>
      </c>
      <c r="I7" s="15">
        <v>6.3496059750411282E-2</v>
      </c>
      <c r="J7" s="15">
        <v>4.6071629863988765E-2</v>
      </c>
      <c r="K7" s="15">
        <v>2.306247051322625E-3</v>
      </c>
      <c r="L7" s="15">
        <v>3.8927934093844286E-3</v>
      </c>
    </row>
    <row r="8" spans="1:12" x14ac:dyDescent="0.3">
      <c r="A8" s="20" t="s">
        <v>40</v>
      </c>
      <c r="B8" s="19">
        <v>9.6337892927149532E-2</v>
      </c>
      <c r="C8" s="19">
        <v>6.7920115842382611E-2</v>
      </c>
      <c r="D8" s="19">
        <v>5.4979832664581261E-3</v>
      </c>
      <c r="E8" s="19">
        <v>1.2933041488102518E-2</v>
      </c>
      <c r="F8" s="19">
        <v>0.1826890335240928</v>
      </c>
      <c r="H8" t="s">
        <v>40</v>
      </c>
      <c r="I8" s="15">
        <v>9.6337892927149532E-2</v>
      </c>
      <c r="J8" s="15">
        <v>6.7920115842382611E-2</v>
      </c>
      <c r="K8" s="15">
        <v>5.4979832664581261E-3</v>
      </c>
      <c r="L8" s="15">
        <v>1.2933041488102518E-2</v>
      </c>
    </row>
    <row r="9" spans="1:12" x14ac:dyDescent="0.3">
      <c r="A9" s="20" t="s">
        <v>35</v>
      </c>
      <c r="B9" s="19">
        <v>0.12522098709469262</v>
      </c>
      <c r="C9" s="19">
        <v>9.1492740283116228E-2</v>
      </c>
      <c r="D9" s="19">
        <v>6.3042760790965081E-3</v>
      </c>
      <c r="E9" s="19">
        <v>1.2408404181197551E-2</v>
      </c>
      <c r="F9" s="19">
        <v>0.23542640763810288</v>
      </c>
      <c r="H9" t="s">
        <v>35</v>
      </c>
      <c r="I9" s="15">
        <v>0.12522098709469262</v>
      </c>
      <c r="J9" s="15">
        <v>9.1492740283116228E-2</v>
      </c>
      <c r="K9" s="15">
        <v>6.3042760790965081E-3</v>
      </c>
      <c r="L9" s="15">
        <v>1.2408404181197551E-2</v>
      </c>
    </row>
    <row r="10" spans="1:12" x14ac:dyDescent="0.3">
      <c r="A10" s="20" t="s">
        <v>2558</v>
      </c>
      <c r="B10" s="19">
        <v>0.52495717387974916</v>
      </c>
      <c r="C10" s="19">
        <v>0.3711684913156732</v>
      </c>
      <c r="D10" s="19">
        <v>2.6245886489133303E-2</v>
      </c>
      <c r="E10" s="19">
        <v>7.7628448315444312E-2</v>
      </c>
      <c r="F10" s="19">
        <v>1</v>
      </c>
      <c r="I10" s="15"/>
      <c r="J10" s="15"/>
      <c r="K10" s="15"/>
      <c r="L10" s="15"/>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29333-0812-4DF3-8B7D-8DDCE145B23E}">
  <dimension ref="A3:B11"/>
  <sheetViews>
    <sheetView workbookViewId="0">
      <selection activeCell="B5" sqref="A3:B11"/>
    </sheetView>
  </sheetViews>
  <sheetFormatPr defaultRowHeight="14.4" x14ac:dyDescent="0.3"/>
  <cols>
    <col min="1" max="1" width="12.44140625" bestFit="1" customWidth="1"/>
    <col min="2" max="2" width="12.21875" bestFit="1" customWidth="1"/>
  </cols>
  <sheetData>
    <row r="3" spans="1:2" x14ac:dyDescent="0.3">
      <c r="A3" s="11" t="s">
        <v>2557</v>
      </c>
      <c r="B3" t="s">
        <v>2549</v>
      </c>
    </row>
    <row r="4" spans="1:2" x14ac:dyDescent="0.3">
      <c r="A4" s="12">
        <v>2</v>
      </c>
      <c r="B4">
        <v>540</v>
      </c>
    </row>
    <row r="5" spans="1:2" x14ac:dyDescent="0.3">
      <c r="A5" s="12" t="s">
        <v>2564</v>
      </c>
      <c r="B5">
        <v>414</v>
      </c>
    </row>
    <row r="6" spans="1:2" x14ac:dyDescent="0.3">
      <c r="A6" s="12">
        <v>1</v>
      </c>
      <c r="B6">
        <v>397</v>
      </c>
    </row>
    <row r="7" spans="1:2" x14ac:dyDescent="0.3">
      <c r="A7" s="12">
        <v>3</v>
      </c>
      <c r="B7">
        <v>375</v>
      </c>
    </row>
    <row r="8" spans="1:2" x14ac:dyDescent="0.3">
      <c r="A8" s="12">
        <v>4</v>
      </c>
      <c r="B8">
        <v>246</v>
      </c>
    </row>
    <row r="9" spans="1:2" x14ac:dyDescent="0.3">
      <c r="A9" s="12" t="s">
        <v>2565</v>
      </c>
      <c r="B9">
        <v>233</v>
      </c>
    </row>
    <row r="10" spans="1:2" x14ac:dyDescent="0.3">
      <c r="A10" s="12">
        <v>5</v>
      </c>
      <c r="B10">
        <v>195</v>
      </c>
    </row>
    <row r="11" spans="1:2" x14ac:dyDescent="0.3">
      <c r="A11" s="12" t="s">
        <v>2558</v>
      </c>
      <c r="B11">
        <v>2400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128A-B66C-4282-938C-5F2D703D8D2B}">
  <dimension ref="A3:B52"/>
  <sheetViews>
    <sheetView workbookViewId="0">
      <selection activeCell="B8" sqref="A3:B52"/>
    </sheetView>
  </sheetViews>
  <sheetFormatPr defaultRowHeight="14.4" x14ac:dyDescent="0.3"/>
  <cols>
    <col min="1" max="1" width="12.44140625" bestFit="1" customWidth="1"/>
    <col min="2" max="2" width="12.21875" bestFit="1" customWidth="1"/>
  </cols>
  <sheetData>
    <row r="3" spans="1:2" x14ac:dyDescent="0.3">
      <c r="A3" s="11" t="s">
        <v>2557</v>
      </c>
      <c r="B3" t="s">
        <v>2549</v>
      </c>
    </row>
    <row r="4" spans="1:2" x14ac:dyDescent="0.3">
      <c r="A4" s="12">
        <v>1</v>
      </c>
      <c r="B4">
        <v>397</v>
      </c>
    </row>
    <row r="5" spans="1:2" x14ac:dyDescent="0.3">
      <c r="A5" s="12">
        <v>2</v>
      </c>
      <c r="B5">
        <v>540</v>
      </c>
    </row>
    <row r="6" spans="1:2" x14ac:dyDescent="0.3">
      <c r="A6" s="12">
        <v>3</v>
      </c>
      <c r="B6">
        <v>375</v>
      </c>
    </row>
    <row r="7" spans="1:2" x14ac:dyDescent="0.3">
      <c r="A7" s="12">
        <v>4</v>
      </c>
      <c r="B7">
        <v>246</v>
      </c>
    </row>
    <row r="8" spans="1:2" x14ac:dyDescent="0.3">
      <c r="A8" s="12">
        <v>5</v>
      </c>
      <c r="B8">
        <v>195</v>
      </c>
    </row>
    <row r="9" spans="1:2" x14ac:dyDescent="0.3">
      <c r="A9" s="12">
        <v>6</v>
      </c>
      <c r="B9">
        <v>122</v>
      </c>
    </row>
    <row r="10" spans="1:2" x14ac:dyDescent="0.3">
      <c r="A10" s="12">
        <v>7</v>
      </c>
      <c r="B10">
        <v>114</v>
      </c>
    </row>
    <row r="11" spans="1:2" x14ac:dyDescent="0.3">
      <c r="A11" s="12">
        <v>8</v>
      </c>
      <c r="B11">
        <v>73</v>
      </c>
    </row>
    <row r="12" spans="1:2" x14ac:dyDescent="0.3">
      <c r="A12" s="12">
        <v>9</v>
      </c>
      <c r="B12">
        <v>52</v>
      </c>
    </row>
    <row r="13" spans="1:2" x14ac:dyDescent="0.3">
      <c r="A13" s="12">
        <v>10</v>
      </c>
      <c r="B13">
        <v>53</v>
      </c>
    </row>
    <row r="14" spans="1:2" x14ac:dyDescent="0.3">
      <c r="A14" s="12">
        <v>11</v>
      </c>
      <c r="B14">
        <v>37</v>
      </c>
    </row>
    <row r="15" spans="1:2" x14ac:dyDescent="0.3">
      <c r="A15" s="12">
        <v>12</v>
      </c>
      <c r="B15">
        <v>33</v>
      </c>
    </row>
    <row r="16" spans="1:2" x14ac:dyDescent="0.3">
      <c r="A16" s="12">
        <v>13</v>
      </c>
      <c r="B16">
        <v>23</v>
      </c>
    </row>
    <row r="17" spans="1:2" x14ac:dyDescent="0.3">
      <c r="A17" s="12">
        <v>14</v>
      </c>
      <c r="B17">
        <v>17</v>
      </c>
    </row>
    <row r="18" spans="1:2" x14ac:dyDescent="0.3">
      <c r="A18" s="12">
        <v>15</v>
      </c>
      <c r="B18">
        <v>15</v>
      </c>
    </row>
    <row r="19" spans="1:2" x14ac:dyDescent="0.3">
      <c r="A19" s="12">
        <v>16</v>
      </c>
      <c r="B19">
        <v>13</v>
      </c>
    </row>
    <row r="20" spans="1:2" x14ac:dyDescent="0.3">
      <c r="A20" s="12">
        <v>17</v>
      </c>
      <c r="B20">
        <v>10</v>
      </c>
    </row>
    <row r="21" spans="1:2" x14ac:dyDescent="0.3">
      <c r="A21" s="12">
        <v>18</v>
      </c>
      <c r="B21">
        <v>10</v>
      </c>
    </row>
    <row r="22" spans="1:2" x14ac:dyDescent="0.3">
      <c r="A22" s="12">
        <v>19</v>
      </c>
      <c r="B22">
        <v>13</v>
      </c>
    </row>
    <row r="23" spans="1:2" x14ac:dyDescent="0.3">
      <c r="A23" s="12">
        <v>20</v>
      </c>
      <c r="B23">
        <v>4</v>
      </c>
    </row>
    <row r="24" spans="1:2" x14ac:dyDescent="0.3">
      <c r="A24" s="12">
        <v>21</v>
      </c>
      <c r="B24">
        <v>4</v>
      </c>
    </row>
    <row r="25" spans="1:2" x14ac:dyDescent="0.3">
      <c r="A25" s="12">
        <v>22</v>
      </c>
      <c r="B25">
        <v>4</v>
      </c>
    </row>
    <row r="26" spans="1:2" x14ac:dyDescent="0.3">
      <c r="A26" s="12">
        <v>23</v>
      </c>
      <c r="B26">
        <v>4</v>
      </c>
    </row>
    <row r="27" spans="1:2" x14ac:dyDescent="0.3">
      <c r="A27" s="12">
        <v>24</v>
      </c>
      <c r="B27">
        <v>3</v>
      </c>
    </row>
    <row r="28" spans="1:2" x14ac:dyDescent="0.3">
      <c r="A28" s="12">
        <v>25</v>
      </c>
      <c r="B28">
        <v>3</v>
      </c>
    </row>
    <row r="29" spans="1:2" x14ac:dyDescent="0.3">
      <c r="A29" s="12">
        <v>26</v>
      </c>
      <c r="B29">
        <v>4</v>
      </c>
    </row>
    <row r="30" spans="1:2" x14ac:dyDescent="0.3">
      <c r="A30" s="12">
        <v>27</v>
      </c>
      <c r="B30">
        <v>4</v>
      </c>
    </row>
    <row r="31" spans="1:2" x14ac:dyDescent="0.3">
      <c r="A31" s="12">
        <v>28</v>
      </c>
      <c r="B31">
        <v>5</v>
      </c>
    </row>
    <row r="32" spans="1:2" x14ac:dyDescent="0.3">
      <c r="A32" s="12">
        <v>29</v>
      </c>
      <c r="B32">
        <v>2</v>
      </c>
    </row>
    <row r="33" spans="1:2" x14ac:dyDescent="0.3">
      <c r="A33" s="12">
        <v>30</v>
      </c>
      <c r="B33">
        <v>4</v>
      </c>
    </row>
    <row r="34" spans="1:2" x14ac:dyDescent="0.3">
      <c r="A34" s="12">
        <v>31</v>
      </c>
      <c r="B34">
        <v>1</v>
      </c>
    </row>
    <row r="35" spans="1:2" x14ac:dyDescent="0.3">
      <c r="A35" s="12">
        <v>32</v>
      </c>
      <c r="B35">
        <v>1</v>
      </c>
    </row>
    <row r="36" spans="1:2" x14ac:dyDescent="0.3">
      <c r="A36" s="12">
        <v>33</v>
      </c>
      <c r="B36">
        <v>1</v>
      </c>
    </row>
    <row r="37" spans="1:2" x14ac:dyDescent="0.3">
      <c r="A37" s="12">
        <v>34</v>
      </c>
      <c r="B37">
        <v>2</v>
      </c>
    </row>
    <row r="38" spans="1:2" x14ac:dyDescent="0.3">
      <c r="A38" s="12">
        <v>35</v>
      </c>
      <c r="B38">
        <v>2</v>
      </c>
    </row>
    <row r="39" spans="1:2" x14ac:dyDescent="0.3">
      <c r="A39" s="12">
        <v>36</v>
      </c>
      <c r="B39">
        <v>2</v>
      </c>
    </row>
    <row r="40" spans="1:2" x14ac:dyDescent="0.3">
      <c r="A40" s="12">
        <v>38</v>
      </c>
      <c r="B40">
        <v>1</v>
      </c>
    </row>
    <row r="41" spans="1:2" x14ac:dyDescent="0.3">
      <c r="A41" s="12">
        <v>40</v>
      </c>
      <c r="B41">
        <v>1</v>
      </c>
    </row>
    <row r="42" spans="1:2" x14ac:dyDescent="0.3">
      <c r="A42" s="12">
        <v>41</v>
      </c>
      <c r="B42">
        <v>1</v>
      </c>
    </row>
    <row r="43" spans="1:2" x14ac:dyDescent="0.3">
      <c r="A43" s="12">
        <v>42</v>
      </c>
      <c r="B43">
        <v>1</v>
      </c>
    </row>
    <row r="44" spans="1:2" x14ac:dyDescent="0.3">
      <c r="A44" s="12">
        <v>43</v>
      </c>
      <c r="B44">
        <v>1</v>
      </c>
    </row>
    <row r="45" spans="1:2" x14ac:dyDescent="0.3">
      <c r="A45" s="12">
        <v>45</v>
      </c>
      <c r="B45">
        <v>1</v>
      </c>
    </row>
    <row r="46" spans="1:2" x14ac:dyDescent="0.3">
      <c r="A46" s="12">
        <v>47</v>
      </c>
      <c r="B46">
        <v>1</v>
      </c>
    </row>
    <row r="47" spans="1:2" x14ac:dyDescent="0.3">
      <c r="A47" s="12">
        <v>49</v>
      </c>
      <c r="B47">
        <v>1</v>
      </c>
    </row>
    <row r="48" spans="1:2" x14ac:dyDescent="0.3">
      <c r="A48" s="12">
        <v>62</v>
      </c>
      <c r="B48">
        <v>1</v>
      </c>
    </row>
    <row r="49" spans="1:2" x14ac:dyDescent="0.3">
      <c r="A49" s="12">
        <v>63</v>
      </c>
      <c r="B49">
        <v>1</v>
      </c>
    </row>
    <row r="50" spans="1:2" x14ac:dyDescent="0.3">
      <c r="A50" s="12">
        <v>70</v>
      </c>
      <c r="B50">
        <v>1</v>
      </c>
    </row>
    <row r="51" spans="1:2" x14ac:dyDescent="0.3">
      <c r="A51" s="12">
        <v>87</v>
      </c>
      <c r="B51">
        <v>1</v>
      </c>
    </row>
    <row r="52" spans="1:2" x14ac:dyDescent="0.3">
      <c r="A52" s="12" t="s">
        <v>2558</v>
      </c>
      <c r="B52">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E417-13EF-4D43-9C1E-43879C906091}">
  <dimension ref="A3:F25"/>
  <sheetViews>
    <sheetView workbookViewId="0">
      <selection activeCell="L2" sqref="L2"/>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11" t="s">
        <v>2548</v>
      </c>
      <c r="B3" s="11" t="s">
        <v>2559</v>
      </c>
    </row>
    <row r="4" spans="1:6" x14ac:dyDescent="0.3">
      <c r="A4" s="11" t="s">
        <v>2557</v>
      </c>
      <c r="B4" t="s">
        <v>2560</v>
      </c>
      <c r="C4" t="s">
        <v>2561</v>
      </c>
      <c r="D4" t="s">
        <v>2562</v>
      </c>
      <c r="E4" t="s">
        <v>2563</v>
      </c>
      <c r="F4" t="s">
        <v>2558</v>
      </c>
    </row>
    <row r="5" spans="1:6" x14ac:dyDescent="0.3">
      <c r="A5" s="12" t="s">
        <v>171</v>
      </c>
      <c r="B5">
        <v>26</v>
      </c>
      <c r="C5">
        <v>35</v>
      </c>
      <c r="D5">
        <v>4</v>
      </c>
      <c r="F5">
        <v>65</v>
      </c>
    </row>
    <row r="6" spans="1:6" x14ac:dyDescent="0.3">
      <c r="A6" s="12" t="s">
        <v>81</v>
      </c>
      <c r="B6">
        <v>43</v>
      </c>
      <c r="C6">
        <v>90</v>
      </c>
      <c r="D6">
        <v>8</v>
      </c>
      <c r="E6">
        <v>6</v>
      </c>
      <c r="F6">
        <v>147</v>
      </c>
    </row>
    <row r="7" spans="1:6" x14ac:dyDescent="0.3">
      <c r="A7" s="12" t="s">
        <v>76</v>
      </c>
      <c r="B7">
        <v>75</v>
      </c>
      <c r="C7">
        <v>103</v>
      </c>
      <c r="D7">
        <v>4</v>
      </c>
      <c r="E7">
        <v>6</v>
      </c>
      <c r="F7">
        <v>188</v>
      </c>
    </row>
    <row r="8" spans="1:6" x14ac:dyDescent="0.3">
      <c r="A8" s="12" t="s">
        <v>128</v>
      </c>
      <c r="B8">
        <v>99</v>
      </c>
      <c r="C8">
        <v>69</v>
      </c>
      <c r="D8">
        <v>3</v>
      </c>
      <c r="E8">
        <v>24</v>
      </c>
      <c r="F8">
        <v>195</v>
      </c>
    </row>
    <row r="9" spans="1:6" x14ac:dyDescent="0.3">
      <c r="A9" s="12" t="s">
        <v>67</v>
      </c>
      <c r="B9">
        <v>179</v>
      </c>
      <c r="C9">
        <v>76</v>
      </c>
      <c r="D9">
        <v>3</v>
      </c>
      <c r="F9">
        <v>258</v>
      </c>
    </row>
    <row r="10" spans="1:6" x14ac:dyDescent="0.3">
      <c r="A10" s="12" t="s">
        <v>135</v>
      </c>
      <c r="B10">
        <v>127</v>
      </c>
      <c r="C10">
        <v>118</v>
      </c>
      <c r="D10">
        <v>13</v>
      </c>
      <c r="E10">
        <v>12</v>
      </c>
      <c r="F10">
        <v>270</v>
      </c>
    </row>
    <row r="11" spans="1:6" x14ac:dyDescent="0.3">
      <c r="A11" s="12" t="s">
        <v>30</v>
      </c>
      <c r="B11">
        <v>146</v>
      </c>
      <c r="C11">
        <v>94</v>
      </c>
      <c r="D11">
        <v>4</v>
      </c>
      <c r="E11">
        <v>28</v>
      </c>
      <c r="F11">
        <v>272</v>
      </c>
    </row>
    <row r="12" spans="1:6" x14ac:dyDescent="0.3">
      <c r="A12" s="12" t="s">
        <v>69</v>
      </c>
      <c r="B12">
        <v>234</v>
      </c>
      <c r="C12">
        <v>93</v>
      </c>
      <c r="D12">
        <v>19</v>
      </c>
      <c r="E12">
        <v>24</v>
      </c>
      <c r="F12">
        <v>370</v>
      </c>
    </row>
    <row r="13" spans="1:6" x14ac:dyDescent="0.3">
      <c r="A13" s="12" t="s">
        <v>146</v>
      </c>
      <c r="B13">
        <v>189</v>
      </c>
      <c r="C13">
        <v>168</v>
      </c>
      <c r="D13">
        <v>10</v>
      </c>
      <c r="E13">
        <v>31</v>
      </c>
      <c r="F13">
        <v>398</v>
      </c>
    </row>
    <row r="14" spans="1:6" x14ac:dyDescent="0.3">
      <c r="A14" s="12" t="s">
        <v>123</v>
      </c>
      <c r="B14">
        <v>153</v>
      </c>
      <c r="C14">
        <v>246</v>
      </c>
      <c r="D14">
        <v>30</v>
      </c>
      <c r="E14">
        <v>8</v>
      </c>
      <c r="F14">
        <v>437</v>
      </c>
    </row>
    <row r="15" spans="1:6" x14ac:dyDescent="0.3">
      <c r="A15" s="12" t="s">
        <v>37</v>
      </c>
      <c r="B15">
        <v>296</v>
      </c>
      <c r="C15">
        <v>275</v>
      </c>
      <c r="D15">
        <v>9</v>
      </c>
      <c r="E15">
        <v>23</v>
      </c>
      <c r="F15">
        <v>603</v>
      </c>
    </row>
    <row r="16" spans="1:6" x14ac:dyDescent="0.3">
      <c r="A16" s="12" t="s">
        <v>42</v>
      </c>
      <c r="B16">
        <v>264</v>
      </c>
      <c r="C16">
        <v>318</v>
      </c>
      <c r="D16">
        <v>15</v>
      </c>
      <c r="E16">
        <v>9</v>
      </c>
      <c r="F16">
        <v>606</v>
      </c>
    </row>
    <row r="17" spans="1:6" x14ac:dyDescent="0.3">
      <c r="A17" s="12" t="s">
        <v>32</v>
      </c>
      <c r="B17">
        <v>431</v>
      </c>
      <c r="C17">
        <v>187</v>
      </c>
      <c r="D17">
        <v>14</v>
      </c>
      <c r="E17">
        <v>15</v>
      </c>
      <c r="F17">
        <v>647</v>
      </c>
    </row>
    <row r="18" spans="1:6" x14ac:dyDescent="0.3">
      <c r="A18" s="12" t="s">
        <v>46</v>
      </c>
      <c r="B18">
        <v>445</v>
      </c>
      <c r="C18">
        <v>202</v>
      </c>
      <c r="D18">
        <v>14</v>
      </c>
      <c r="E18">
        <v>39</v>
      </c>
      <c r="F18">
        <v>700</v>
      </c>
    </row>
    <row r="19" spans="1:6" x14ac:dyDescent="0.3">
      <c r="A19" s="12" t="s">
        <v>16</v>
      </c>
      <c r="B19">
        <v>428</v>
      </c>
      <c r="C19">
        <v>293</v>
      </c>
      <c r="E19">
        <v>24</v>
      </c>
      <c r="F19">
        <v>745</v>
      </c>
    </row>
    <row r="20" spans="1:6" x14ac:dyDescent="0.3">
      <c r="A20" s="12" t="s">
        <v>54</v>
      </c>
      <c r="B20">
        <v>482</v>
      </c>
      <c r="C20">
        <v>295</v>
      </c>
      <c r="D20">
        <v>8</v>
      </c>
      <c r="E20">
        <v>22</v>
      </c>
      <c r="F20">
        <v>807</v>
      </c>
    </row>
    <row r="21" spans="1:6" x14ac:dyDescent="0.3">
      <c r="A21" s="12" t="s">
        <v>22</v>
      </c>
      <c r="B21">
        <v>568</v>
      </c>
      <c r="C21">
        <v>306</v>
      </c>
      <c r="D21">
        <v>22</v>
      </c>
      <c r="E21">
        <v>16</v>
      </c>
      <c r="F21">
        <v>912</v>
      </c>
    </row>
    <row r="22" spans="1:6" x14ac:dyDescent="0.3">
      <c r="A22" s="12" t="s">
        <v>26</v>
      </c>
      <c r="B22">
        <v>627</v>
      </c>
      <c r="C22">
        <v>393</v>
      </c>
      <c r="D22">
        <v>29</v>
      </c>
      <c r="E22">
        <v>137</v>
      </c>
      <c r="F22">
        <v>1186</v>
      </c>
    </row>
    <row r="23" spans="1:6" x14ac:dyDescent="0.3">
      <c r="A23" s="12" t="s">
        <v>39</v>
      </c>
      <c r="B23">
        <v>716</v>
      </c>
      <c r="C23">
        <v>598</v>
      </c>
      <c r="D23">
        <v>18</v>
      </c>
      <c r="E23">
        <v>214</v>
      </c>
      <c r="F23">
        <v>1546</v>
      </c>
    </row>
    <row r="24" spans="1:6" x14ac:dyDescent="0.3">
      <c r="A24" s="12" t="s">
        <v>44</v>
      </c>
      <c r="B24">
        <v>744</v>
      </c>
      <c r="C24">
        <v>713</v>
      </c>
      <c r="D24">
        <v>90</v>
      </c>
      <c r="E24">
        <v>98</v>
      </c>
      <c r="F24">
        <v>1645</v>
      </c>
    </row>
    <row r="25" spans="1:6" x14ac:dyDescent="0.3">
      <c r="A25" s="12" t="s">
        <v>2558</v>
      </c>
      <c r="B25">
        <v>6272</v>
      </c>
      <c r="C25">
        <v>4672</v>
      </c>
      <c r="D25">
        <v>317</v>
      </c>
      <c r="E25">
        <v>736</v>
      </c>
      <c r="F25">
        <v>11997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11CD-69D0-4905-A6FF-0A096F14AEC4}">
  <dimension ref="A3:C63"/>
  <sheetViews>
    <sheetView workbookViewId="0">
      <selection activeCell="A6" sqref="A6"/>
    </sheetView>
  </sheetViews>
  <sheetFormatPr defaultRowHeight="14.4" x14ac:dyDescent="0.3"/>
  <cols>
    <col min="1" max="1" width="22.77734375" bestFit="1" customWidth="1"/>
    <col min="2" max="2" width="14.21875" bestFit="1" customWidth="1"/>
    <col min="3" max="3" width="13.5546875" bestFit="1" customWidth="1"/>
  </cols>
  <sheetData>
    <row r="3" spans="1:3" x14ac:dyDescent="0.3">
      <c r="A3" s="11" t="s">
        <v>2557</v>
      </c>
      <c r="B3" t="s">
        <v>2548</v>
      </c>
      <c r="C3" t="s">
        <v>2550</v>
      </c>
    </row>
    <row r="4" spans="1:3" x14ac:dyDescent="0.3">
      <c r="A4" s="12" t="s">
        <v>19</v>
      </c>
      <c r="B4">
        <v>11997</v>
      </c>
      <c r="C4">
        <v>649019.79999999981</v>
      </c>
    </row>
    <row r="5" spans="1:3" x14ac:dyDescent="0.3">
      <c r="A5" s="21" t="s">
        <v>115</v>
      </c>
      <c r="B5">
        <v>579</v>
      </c>
      <c r="C5">
        <v>31884.999999999996</v>
      </c>
    </row>
    <row r="6" spans="1:3" x14ac:dyDescent="0.3">
      <c r="A6" s="21" t="s">
        <v>20</v>
      </c>
      <c r="B6">
        <v>1</v>
      </c>
      <c r="C6">
        <v>10.9</v>
      </c>
    </row>
    <row r="7" spans="1:3" x14ac:dyDescent="0.3">
      <c r="A7" s="21" t="s">
        <v>641</v>
      </c>
      <c r="B7">
        <v>9</v>
      </c>
      <c r="C7">
        <v>800.3</v>
      </c>
    </row>
    <row r="8" spans="1:3" x14ac:dyDescent="0.3">
      <c r="A8" s="21" t="s">
        <v>967</v>
      </c>
      <c r="B8">
        <v>35</v>
      </c>
      <c r="C8">
        <v>1062.5999999999999</v>
      </c>
    </row>
    <row r="9" spans="1:3" x14ac:dyDescent="0.3">
      <c r="A9" s="21" t="s">
        <v>84</v>
      </c>
      <c r="B9">
        <v>12</v>
      </c>
      <c r="C9">
        <v>326.20000000000005</v>
      </c>
    </row>
    <row r="10" spans="1:3" x14ac:dyDescent="0.3">
      <c r="A10" s="21" t="s">
        <v>1383</v>
      </c>
      <c r="B10">
        <v>4</v>
      </c>
      <c r="C10">
        <v>167.5</v>
      </c>
    </row>
    <row r="11" spans="1:3" x14ac:dyDescent="0.3">
      <c r="A11" s="21" t="s">
        <v>24</v>
      </c>
      <c r="B11">
        <v>341</v>
      </c>
      <c r="C11">
        <v>16168.7</v>
      </c>
    </row>
    <row r="12" spans="1:3" x14ac:dyDescent="0.3">
      <c r="A12" s="21" t="s">
        <v>2204</v>
      </c>
      <c r="B12">
        <v>13</v>
      </c>
      <c r="C12">
        <v>322.40000000000003</v>
      </c>
    </row>
    <row r="13" spans="1:3" x14ac:dyDescent="0.3">
      <c r="A13" s="21" t="s">
        <v>437</v>
      </c>
      <c r="B13">
        <v>31</v>
      </c>
      <c r="C13">
        <v>2092.8000000000002</v>
      </c>
    </row>
    <row r="14" spans="1:3" x14ac:dyDescent="0.3">
      <c r="A14" s="21" t="s">
        <v>28</v>
      </c>
      <c r="B14">
        <v>279</v>
      </c>
      <c r="C14">
        <v>12662.500000000002</v>
      </c>
    </row>
    <row r="15" spans="1:3" x14ac:dyDescent="0.3">
      <c r="A15" s="21" t="s">
        <v>208</v>
      </c>
      <c r="B15">
        <v>9</v>
      </c>
      <c r="C15">
        <v>343.2</v>
      </c>
    </row>
    <row r="16" spans="1:3" x14ac:dyDescent="0.3">
      <c r="A16" s="21" t="s">
        <v>587</v>
      </c>
      <c r="B16">
        <v>49</v>
      </c>
      <c r="C16">
        <v>2188.2999999999997</v>
      </c>
    </row>
    <row r="17" spans="1:3" x14ac:dyDescent="0.3">
      <c r="A17" s="21" t="s">
        <v>331</v>
      </c>
      <c r="B17">
        <v>59</v>
      </c>
      <c r="C17">
        <v>2661.5999999999995</v>
      </c>
    </row>
    <row r="18" spans="1:3" x14ac:dyDescent="0.3">
      <c r="A18" s="21" t="s">
        <v>86</v>
      </c>
      <c r="B18">
        <v>8</v>
      </c>
      <c r="C18">
        <v>887.5</v>
      </c>
    </row>
    <row r="19" spans="1:3" x14ac:dyDescent="0.3">
      <c r="A19" s="21" t="s">
        <v>147</v>
      </c>
      <c r="B19">
        <v>222</v>
      </c>
      <c r="C19">
        <v>11354.199999999993</v>
      </c>
    </row>
    <row r="20" spans="1:3" x14ac:dyDescent="0.3">
      <c r="A20" s="21" t="s">
        <v>334</v>
      </c>
      <c r="B20">
        <v>36</v>
      </c>
      <c r="C20">
        <v>1558.4</v>
      </c>
    </row>
    <row r="21" spans="1:3" x14ac:dyDescent="0.3">
      <c r="A21" s="21" t="s">
        <v>949</v>
      </c>
      <c r="B21">
        <v>30</v>
      </c>
      <c r="C21">
        <v>2223.9</v>
      </c>
    </row>
    <row r="22" spans="1:3" x14ac:dyDescent="0.3">
      <c r="A22" s="21" t="s">
        <v>1426</v>
      </c>
      <c r="B22">
        <v>1</v>
      </c>
      <c r="C22">
        <v>26.2</v>
      </c>
    </row>
    <row r="23" spans="1:3" x14ac:dyDescent="0.3">
      <c r="A23" s="21" t="s">
        <v>33</v>
      </c>
      <c r="B23">
        <v>3991</v>
      </c>
      <c r="C23">
        <v>215551.19999999981</v>
      </c>
    </row>
    <row r="24" spans="1:3" x14ac:dyDescent="0.3">
      <c r="A24" s="21" t="s">
        <v>364</v>
      </c>
      <c r="B24">
        <v>45</v>
      </c>
      <c r="C24">
        <v>2687.3999999999996</v>
      </c>
    </row>
    <row r="25" spans="1:3" x14ac:dyDescent="0.3">
      <c r="A25" s="21" t="s">
        <v>545</v>
      </c>
      <c r="B25">
        <v>39</v>
      </c>
      <c r="C25">
        <v>1463.3000000000002</v>
      </c>
    </row>
    <row r="26" spans="1:3" x14ac:dyDescent="0.3">
      <c r="A26" s="21" t="s">
        <v>416</v>
      </c>
      <c r="B26">
        <v>6</v>
      </c>
      <c r="C26">
        <v>445.79999999999995</v>
      </c>
    </row>
    <row r="27" spans="1:3" x14ac:dyDescent="0.3">
      <c r="A27" s="21" t="s">
        <v>258</v>
      </c>
      <c r="B27">
        <v>9</v>
      </c>
      <c r="C27">
        <v>273.59999999999997</v>
      </c>
    </row>
    <row r="28" spans="1:3" x14ac:dyDescent="0.3">
      <c r="A28" s="21" t="s">
        <v>186</v>
      </c>
      <c r="B28">
        <v>60</v>
      </c>
      <c r="C28">
        <v>2690.4</v>
      </c>
    </row>
    <row r="29" spans="1:3" x14ac:dyDescent="0.3">
      <c r="A29" s="21" t="s">
        <v>392</v>
      </c>
      <c r="B29">
        <v>2</v>
      </c>
      <c r="C29">
        <v>28.4</v>
      </c>
    </row>
    <row r="30" spans="1:3" x14ac:dyDescent="0.3">
      <c r="A30" s="21" t="s">
        <v>670</v>
      </c>
      <c r="B30">
        <v>4</v>
      </c>
      <c r="C30">
        <v>204.8</v>
      </c>
    </row>
    <row r="31" spans="1:3" x14ac:dyDescent="0.3">
      <c r="A31" s="21" t="s">
        <v>802</v>
      </c>
      <c r="B31">
        <v>31</v>
      </c>
      <c r="C31">
        <v>1607.8999999999999</v>
      </c>
    </row>
    <row r="32" spans="1:3" x14ac:dyDescent="0.3">
      <c r="A32" s="21" t="s">
        <v>98</v>
      </c>
      <c r="B32">
        <v>88</v>
      </c>
      <c r="C32">
        <v>6444.9</v>
      </c>
    </row>
    <row r="33" spans="1:3" x14ac:dyDescent="0.3">
      <c r="A33" s="21" t="s">
        <v>49</v>
      </c>
      <c r="B33">
        <v>25</v>
      </c>
      <c r="C33">
        <v>1809.3</v>
      </c>
    </row>
    <row r="34" spans="1:3" x14ac:dyDescent="0.3">
      <c r="A34" s="21" t="s">
        <v>188</v>
      </c>
      <c r="B34">
        <v>178</v>
      </c>
      <c r="C34">
        <v>9680.399999999996</v>
      </c>
    </row>
    <row r="35" spans="1:3" x14ac:dyDescent="0.3">
      <c r="A35" s="21" t="s">
        <v>52</v>
      </c>
      <c r="B35">
        <v>141</v>
      </c>
      <c r="C35">
        <v>9414.7999999999993</v>
      </c>
    </row>
    <row r="36" spans="1:3" x14ac:dyDescent="0.3">
      <c r="A36" s="21" t="s">
        <v>338</v>
      </c>
      <c r="B36">
        <v>6</v>
      </c>
      <c r="C36">
        <v>206.1</v>
      </c>
    </row>
    <row r="37" spans="1:3" x14ac:dyDescent="0.3">
      <c r="A37" s="21" t="s">
        <v>158</v>
      </c>
      <c r="B37">
        <v>178</v>
      </c>
      <c r="C37">
        <v>7691.3</v>
      </c>
    </row>
    <row r="38" spans="1:3" x14ac:dyDescent="0.3">
      <c r="A38" s="21" t="s">
        <v>55</v>
      </c>
      <c r="B38">
        <v>699</v>
      </c>
      <c r="C38">
        <v>37784.900000000016</v>
      </c>
    </row>
    <row r="39" spans="1:3" x14ac:dyDescent="0.3">
      <c r="A39" s="21" t="s">
        <v>342</v>
      </c>
      <c r="B39">
        <v>23</v>
      </c>
      <c r="C39">
        <v>1129.7</v>
      </c>
    </row>
    <row r="40" spans="1:3" x14ac:dyDescent="0.3">
      <c r="A40" s="21" t="s">
        <v>59</v>
      </c>
      <c r="B40">
        <v>356</v>
      </c>
      <c r="C40">
        <v>20988.9</v>
      </c>
    </row>
    <row r="41" spans="1:3" x14ac:dyDescent="0.3">
      <c r="A41" s="21" t="s">
        <v>62</v>
      </c>
      <c r="B41">
        <v>1768</v>
      </c>
      <c r="C41">
        <v>98367.099999999977</v>
      </c>
    </row>
    <row r="42" spans="1:3" x14ac:dyDescent="0.3">
      <c r="A42" s="21" t="s">
        <v>103</v>
      </c>
      <c r="B42">
        <v>307</v>
      </c>
      <c r="C42">
        <v>21911.9</v>
      </c>
    </row>
    <row r="43" spans="1:3" x14ac:dyDescent="0.3">
      <c r="A43" s="21" t="s">
        <v>201</v>
      </c>
      <c r="B43">
        <v>117</v>
      </c>
      <c r="C43">
        <v>5441.2</v>
      </c>
    </row>
    <row r="44" spans="1:3" x14ac:dyDescent="0.3">
      <c r="A44" s="21" t="s">
        <v>429</v>
      </c>
      <c r="B44">
        <v>13</v>
      </c>
      <c r="C44">
        <v>392.8</v>
      </c>
    </row>
    <row r="45" spans="1:3" x14ac:dyDescent="0.3">
      <c r="A45" s="21" t="s">
        <v>72</v>
      </c>
      <c r="B45">
        <v>364</v>
      </c>
      <c r="C45">
        <v>16172.000000000005</v>
      </c>
    </row>
    <row r="46" spans="1:3" x14ac:dyDescent="0.3">
      <c r="A46" s="21" t="s">
        <v>74</v>
      </c>
      <c r="B46">
        <v>95</v>
      </c>
      <c r="C46">
        <v>4334.9999999999991</v>
      </c>
    </row>
    <row r="47" spans="1:3" x14ac:dyDescent="0.3">
      <c r="A47" s="21" t="s">
        <v>77</v>
      </c>
      <c r="B47">
        <v>737</v>
      </c>
      <c r="C47">
        <v>37449.000000000007</v>
      </c>
    </row>
    <row r="48" spans="1:3" x14ac:dyDescent="0.3">
      <c r="A48" s="21" t="s">
        <v>309</v>
      </c>
      <c r="B48">
        <v>39</v>
      </c>
      <c r="C48">
        <v>2447.5</v>
      </c>
    </row>
    <row r="49" spans="1:3" x14ac:dyDescent="0.3">
      <c r="A49" s="21" t="s">
        <v>1116</v>
      </c>
      <c r="B49">
        <v>56</v>
      </c>
      <c r="C49">
        <v>3391.1</v>
      </c>
    </row>
    <row r="50" spans="1:3" x14ac:dyDescent="0.3">
      <c r="A50" s="21" t="s">
        <v>700</v>
      </c>
      <c r="B50">
        <v>2</v>
      </c>
      <c r="C50">
        <v>30.8</v>
      </c>
    </row>
    <row r="51" spans="1:3" x14ac:dyDescent="0.3">
      <c r="A51" s="21" t="s">
        <v>268</v>
      </c>
      <c r="B51">
        <v>8</v>
      </c>
      <c r="C51">
        <v>332.3</v>
      </c>
    </row>
    <row r="52" spans="1:3" x14ac:dyDescent="0.3">
      <c r="A52" s="21" t="s">
        <v>377</v>
      </c>
      <c r="B52">
        <v>52</v>
      </c>
      <c r="C52">
        <v>3175.9999999999995</v>
      </c>
    </row>
    <row r="53" spans="1:3" x14ac:dyDescent="0.3">
      <c r="A53" s="21" t="s">
        <v>108</v>
      </c>
      <c r="B53">
        <v>295</v>
      </c>
      <c r="C53">
        <v>20939.600000000002</v>
      </c>
    </row>
    <row r="54" spans="1:3" x14ac:dyDescent="0.3">
      <c r="A54" s="21" t="s">
        <v>110</v>
      </c>
      <c r="B54">
        <v>195</v>
      </c>
      <c r="C54">
        <v>10185.899999999996</v>
      </c>
    </row>
    <row r="55" spans="1:3" x14ac:dyDescent="0.3">
      <c r="A55" s="21" t="s">
        <v>292</v>
      </c>
      <c r="B55">
        <v>20</v>
      </c>
      <c r="C55">
        <v>958.7</v>
      </c>
    </row>
    <row r="56" spans="1:3" x14ac:dyDescent="0.3">
      <c r="A56" s="21" t="s">
        <v>79</v>
      </c>
      <c r="B56">
        <v>6</v>
      </c>
      <c r="C56">
        <v>323</v>
      </c>
    </row>
    <row r="57" spans="1:3" x14ac:dyDescent="0.3">
      <c r="A57" s="21" t="s">
        <v>608</v>
      </c>
      <c r="B57">
        <v>5</v>
      </c>
      <c r="C57">
        <v>167.70000000000002</v>
      </c>
    </row>
    <row r="58" spans="1:3" x14ac:dyDescent="0.3">
      <c r="A58" s="21" t="s">
        <v>113</v>
      </c>
      <c r="B58">
        <v>94</v>
      </c>
      <c r="C58">
        <v>3978.5</v>
      </c>
    </row>
    <row r="59" spans="1:3" x14ac:dyDescent="0.3">
      <c r="A59" s="21" t="s">
        <v>997</v>
      </c>
      <c r="B59">
        <v>28</v>
      </c>
      <c r="C59">
        <v>1405</v>
      </c>
    </row>
    <row r="60" spans="1:3" x14ac:dyDescent="0.3">
      <c r="A60" s="21" t="s">
        <v>82</v>
      </c>
      <c r="B60">
        <v>179</v>
      </c>
      <c r="C60">
        <v>9869.0999999999985</v>
      </c>
    </row>
    <row r="61" spans="1:3" x14ac:dyDescent="0.3">
      <c r="A61" s="21" t="s">
        <v>243</v>
      </c>
      <c r="B61">
        <v>15</v>
      </c>
      <c r="C61">
        <v>615.29999999999995</v>
      </c>
    </row>
    <row r="62" spans="1:3" x14ac:dyDescent="0.3">
      <c r="A62" s="21" t="s">
        <v>1911</v>
      </c>
      <c r="B62">
        <v>3</v>
      </c>
      <c r="C62">
        <v>285</v>
      </c>
    </row>
    <row r="63" spans="1:3" x14ac:dyDescent="0.3">
      <c r="A63" s="12" t="s">
        <v>2558</v>
      </c>
      <c r="B63">
        <v>11997</v>
      </c>
      <c r="C63">
        <v>649019.79999999981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669A-D6B0-45BB-A216-101EFDC5E586}">
  <dimension ref="A3:P67"/>
  <sheetViews>
    <sheetView topLeftCell="C5" workbookViewId="0">
      <selection activeCell="I11" sqref="H7:J67"/>
    </sheetView>
  </sheetViews>
  <sheetFormatPr defaultRowHeight="14.4" x14ac:dyDescent="0.3"/>
  <cols>
    <col min="1" max="1" width="22.77734375" bestFit="1" customWidth="1"/>
    <col min="2" max="2" width="19.6640625" bestFit="1" customWidth="1"/>
    <col min="3" max="3" width="13.5546875" bestFit="1" customWidth="1"/>
    <col min="4" max="4" width="14.21875" bestFit="1" customWidth="1"/>
    <col min="8" max="8" width="12.5546875" customWidth="1"/>
    <col min="9" max="9" width="15.33203125" customWidth="1"/>
    <col min="10" max="10" width="18.88671875" customWidth="1"/>
    <col min="11" max="11" width="16.88671875" customWidth="1"/>
    <col min="14" max="14" width="15.109375" customWidth="1"/>
    <col min="15" max="15" width="18.5546875" customWidth="1"/>
    <col min="16" max="16" width="14.44140625" customWidth="1"/>
  </cols>
  <sheetData>
    <row r="3" spans="1:16" x14ac:dyDescent="0.3">
      <c r="A3" s="11" t="s">
        <v>10</v>
      </c>
      <c r="B3" s="11" t="s">
        <v>11</v>
      </c>
      <c r="C3" t="s">
        <v>2550</v>
      </c>
      <c r="D3" t="s">
        <v>2548</v>
      </c>
    </row>
    <row r="4" spans="1:16" x14ac:dyDescent="0.3">
      <c r="A4" t="s">
        <v>19</v>
      </c>
      <c r="B4" t="s">
        <v>115</v>
      </c>
      <c r="C4">
        <v>31884.999999999996</v>
      </c>
      <c r="D4">
        <v>579</v>
      </c>
    </row>
    <row r="5" spans="1:16" x14ac:dyDescent="0.3">
      <c r="A5" t="s">
        <v>19</v>
      </c>
      <c r="B5" t="s">
        <v>20</v>
      </c>
      <c r="C5">
        <v>10.9</v>
      </c>
      <c r="D5">
        <v>1</v>
      </c>
    </row>
    <row r="6" spans="1:16" x14ac:dyDescent="0.3">
      <c r="A6" t="s">
        <v>19</v>
      </c>
      <c r="B6" t="s">
        <v>641</v>
      </c>
      <c r="C6">
        <v>800.3</v>
      </c>
      <c r="D6">
        <v>9</v>
      </c>
    </row>
    <row r="7" spans="1:16" x14ac:dyDescent="0.3">
      <c r="A7" t="s">
        <v>19</v>
      </c>
      <c r="B7" t="s">
        <v>967</v>
      </c>
      <c r="C7">
        <v>1062.5999999999999</v>
      </c>
      <c r="D7">
        <v>35</v>
      </c>
      <c r="H7" t="s">
        <v>10</v>
      </c>
      <c r="I7" t="s">
        <v>11</v>
      </c>
      <c r="J7" t="s">
        <v>2548</v>
      </c>
      <c r="N7" t="s">
        <v>10</v>
      </c>
      <c r="O7" t="s">
        <v>11</v>
      </c>
      <c r="P7" t="s">
        <v>2550</v>
      </c>
    </row>
    <row r="8" spans="1:16" x14ac:dyDescent="0.3">
      <c r="A8" t="s">
        <v>19</v>
      </c>
      <c r="B8" t="s">
        <v>84</v>
      </c>
      <c r="C8">
        <v>326.20000000000005</v>
      </c>
      <c r="D8">
        <v>12</v>
      </c>
      <c r="H8" t="s">
        <v>19</v>
      </c>
      <c r="I8" t="s">
        <v>115</v>
      </c>
      <c r="J8">
        <v>579</v>
      </c>
      <c r="N8" t="s">
        <v>19</v>
      </c>
      <c r="O8" t="s">
        <v>115</v>
      </c>
      <c r="P8">
        <v>31884.999999999996</v>
      </c>
    </row>
    <row r="9" spans="1:16" x14ac:dyDescent="0.3">
      <c r="A9" t="s">
        <v>19</v>
      </c>
      <c r="B9" t="s">
        <v>1383</v>
      </c>
      <c r="C9">
        <v>167.5</v>
      </c>
      <c r="D9">
        <v>4</v>
      </c>
      <c r="H9" t="s">
        <v>19</v>
      </c>
      <c r="I9" t="s">
        <v>20</v>
      </c>
      <c r="J9">
        <v>1</v>
      </c>
      <c r="N9" t="s">
        <v>19</v>
      </c>
      <c r="O9" t="s">
        <v>20</v>
      </c>
      <c r="P9">
        <v>10.9</v>
      </c>
    </row>
    <row r="10" spans="1:16" x14ac:dyDescent="0.3">
      <c r="A10" t="s">
        <v>19</v>
      </c>
      <c r="B10" t="s">
        <v>24</v>
      </c>
      <c r="C10">
        <v>16168.7</v>
      </c>
      <c r="D10">
        <v>341</v>
      </c>
      <c r="H10" t="s">
        <v>19</v>
      </c>
      <c r="I10" t="s">
        <v>641</v>
      </c>
      <c r="J10">
        <v>9</v>
      </c>
      <c r="N10" t="s">
        <v>19</v>
      </c>
      <c r="O10" t="s">
        <v>641</v>
      </c>
      <c r="P10">
        <v>800.3</v>
      </c>
    </row>
    <row r="11" spans="1:16" x14ac:dyDescent="0.3">
      <c r="A11" t="s">
        <v>19</v>
      </c>
      <c r="B11" t="s">
        <v>2204</v>
      </c>
      <c r="C11">
        <v>322.40000000000003</v>
      </c>
      <c r="D11">
        <v>13</v>
      </c>
      <c r="H11" t="s">
        <v>19</v>
      </c>
      <c r="I11" t="s">
        <v>967</v>
      </c>
      <c r="J11">
        <v>35</v>
      </c>
      <c r="N11" t="s">
        <v>19</v>
      </c>
      <c r="O11" t="s">
        <v>967</v>
      </c>
      <c r="P11">
        <v>1062.5999999999999</v>
      </c>
    </row>
    <row r="12" spans="1:16" x14ac:dyDescent="0.3">
      <c r="A12" t="s">
        <v>19</v>
      </c>
      <c r="B12" t="s">
        <v>437</v>
      </c>
      <c r="C12">
        <v>2092.8000000000002</v>
      </c>
      <c r="D12">
        <v>31</v>
      </c>
      <c r="H12" t="s">
        <v>19</v>
      </c>
      <c r="I12" t="s">
        <v>84</v>
      </c>
      <c r="J12">
        <v>12</v>
      </c>
      <c r="N12" t="s">
        <v>19</v>
      </c>
      <c r="O12" t="s">
        <v>84</v>
      </c>
      <c r="P12">
        <v>326.20000000000005</v>
      </c>
    </row>
    <row r="13" spans="1:16" x14ac:dyDescent="0.3">
      <c r="A13" t="s">
        <v>19</v>
      </c>
      <c r="B13" t="s">
        <v>28</v>
      </c>
      <c r="C13">
        <v>12662.500000000002</v>
      </c>
      <c r="D13">
        <v>279</v>
      </c>
      <c r="H13" t="s">
        <v>19</v>
      </c>
      <c r="I13" t="s">
        <v>1383</v>
      </c>
      <c r="J13">
        <v>4</v>
      </c>
      <c r="N13" t="s">
        <v>19</v>
      </c>
      <c r="O13" t="s">
        <v>1383</v>
      </c>
      <c r="P13">
        <v>167.5</v>
      </c>
    </row>
    <row r="14" spans="1:16" x14ac:dyDescent="0.3">
      <c r="A14" t="s">
        <v>19</v>
      </c>
      <c r="B14" t="s">
        <v>208</v>
      </c>
      <c r="C14">
        <v>343.2</v>
      </c>
      <c r="D14">
        <v>9</v>
      </c>
      <c r="H14" t="s">
        <v>19</v>
      </c>
      <c r="I14" t="s">
        <v>24</v>
      </c>
      <c r="J14">
        <v>341</v>
      </c>
      <c r="N14" t="s">
        <v>19</v>
      </c>
      <c r="O14" t="s">
        <v>24</v>
      </c>
      <c r="P14">
        <v>16168.7</v>
      </c>
    </row>
    <row r="15" spans="1:16" x14ac:dyDescent="0.3">
      <c r="A15" t="s">
        <v>19</v>
      </c>
      <c r="B15" t="s">
        <v>587</v>
      </c>
      <c r="C15">
        <v>2188.2999999999997</v>
      </c>
      <c r="D15">
        <v>49</v>
      </c>
      <c r="H15" t="s">
        <v>19</v>
      </c>
      <c r="I15" t="s">
        <v>2204</v>
      </c>
      <c r="J15">
        <v>13</v>
      </c>
      <c r="N15" t="s">
        <v>19</v>
      </c>
      <c r="O15" t="s">
        <v>2204</v>
      </c>
      <c r="P15">
        <v>322.40000000000003</v>
      </c>
    </row>
    <row r="16" spans="1:16" x14ac:dyDescent="0.3">
      <c r="A16" t="s">
        <v>19</v>
      </c>
      <c r="B16" t="s">
        <v>331</v>
      </c>
      <c r="C16">
        <v>2661.5999999999995</v>
      </c>
      <c r="D16">
        <v>59</v>
      </c>
      <c r="H16" t="s">
        <v>19</v>
      </c>
      <c r="I16" t="s">
        <v>437</v>
      </c>
      <c r="J16">
        <v>31</v>
      </c>
      <c r="N16" t="s">
        <v>19</v>
      </c>
      <c r="O16" t="s">
        <v>437</v>
      </c>
      <c r="P16">
        <v>2092.8000000000002</v>
      </c>
    </row>
    <row r="17" spans="1:16" x14ac:dyDescent="0.3">
      <c r="A17" t="s">
        <v>19</v>
      </c>
      <c r="B17" t="s">
        <v>86</v>
      </c>
      <c r="C17">
        <v>887.5</v>
      </c>
      <c r="D17">
        <v>8</v>
      </c>
      <c r="H17" t="s">
        <v>19</v>
      </c>
      <c r="I17" t="s">
        <v>28</v>
      </c>
      <c r="J17">
        <v>279</v>
      </c>
      <c r="N17" t="s">
        <v>19</v>
      </c>
      <c r="O17" t="s">
        <v>28</v>
      </c>
      <c r="P17">
        <v>12662.500000000002</v>
      </c>
    </row>
    <row r="18" spans="1:16" x14ac:dyDescent="0.3">
      <c r="A18" t="s">
        <v>19</v>
      </c>
      <c r="B18" t="s">
        <v>147</v>
      </c>
      <c r="C18">
        <v>11354.199999999993</v>
      </c>
      <c r="D18">
        <v>222</v>
      </c>
      <c r="H18" t="s">
        <v>19</v>
      </c>
      <c r="I18" t="s">
        <v>208</v>
      </c>
      <c r="J18">
        <v>9</v>
      </c>
      <c r="N18" t="s">
        <v>19</v>
      </c>
      <c r="O18" t="s">
        <v>208</v>
      </c>
      <c r="P18">
        <v>343.2</v>
      </c>
    </row>
    <row r="19" spans="1:16" x14ac:dyDescent="0.3">
      <c r="A19" t="s">
        <v>19</v>
      </c>
      <c r="B19" t="s">
        <v>334</v>
      </c>
      <c r="C19">
        <v>1558.4</v>
      </c>
      <c r="D19">
        <v>36</v>
      </c>
      <c r="H19" t="s">
        <v>19</v>
      </c>
      <c r="I19" t="s">
        <v>587</v>
      </c>
      <c r="J19">
        <v>49</v>
      </c>
      <c r="N19" t="s">
        <v>19</v>
      </c>
      <c r="O19" t="s">
        <v>587</v>
      </c>
      <c r="P19">
        <v>2188.2999999999997</v>
      </c>
    </row>
    <row r="20" spans="1:16" x14ac:dyDescent="0.3">
      <c r="A20" t="s">
        <v>19</v>
      </c>
      <c r="B20" t="s">
        <v>949</v>
      </c>
      <c r="C20">
        <v>2223.9</v>
      </c>
      <c r="D20">
        <v>30</v>
      </c>
      <c r="H20" t="s">
        <v>19</v>
      </c>
      <c r="I20" t="s">
        <v>331</v>
      </c>
      <c r="J20">
        <v>59</v>
      </c>
      <c r="N20" t="s">
        <v>19</v>
      </c>
      <c r="O20" t="s">
        <v>331</v>
      </c>
      <c r="P20">
        <v>2661.5999999999995</v>
      </c>
    </row>
    <row r="21" spans="1:16" x14ac:dyDescent="0.3">
      <c r="A21" t="s">
        <v>19</v>
      </c>
      <c r="B21" t="s">
        <v>1426</v>
      </c>
      <c r="C21">
        <v>26.2</v>
      </c>
      <c r="D21">
        <v>1</v>
      </c>
      <c r="H21" t="s">
        <v>19</v>
      </c>
      <c r="I21" t="s">
        <v>86</v>
      </c>
      <c r="J21">
        <v>8</v>
      </c>
      <c r="N21" t="s">
        <v>19</v>
      </c>
      <c r="O21" t="s">
        <v>86</v>
      </c>
      <c r="P21">
        <v>887.5</v>
      </c>
    </row>
    <row r="22" spans="1:16" x14ac:dyDescent="0.3">
      <c r="A22" t="s">
        <v>19</v>
      </c>
      <c r="B22" t="s">
        <v>33</v>
      </c>
      <c r="C22">
        <v>215551.19999999981</v>
      </c>
      <c r="D22">
        <v>3991</v>
      </c>
      <c r="H22" t="s">
        <v>19</v>
      </c>
      <c r="I22" t="s">
        <v>147</v>
      </c>
      <c r="J22">
        <v>222</v>
      </c>
      <c r="N22" t="s">
        <v>19</v>
      </c>
      <c r="O22" t="s">
        <v>147</v>
      </c>
      <c r="P22">
        <v>11354.199999999993</v>
      </c>
    </row>
    <row r="23" spans="1:16" x14ac:dyDescent="0.3">
      <c r="A23" t="s">
        <v>19</v>
      </c>
      <c r="B23" t="s">
        <v>364</v>
      </c>
      <c r="C23">
        <v>2687.3999999999996</v>
      </c>
      <c r="D23">
        <v>45</v>
      </c>
      <c r="H23" t="s">
        <v>19</v>
      </c>
      <c r="I23" t="s">
        <v>334</v>
      </c>
      <c r="J23">
        <v>36</v>
      </c>
      <c r="N23" t="s">
        <v>19</v>
      </c>
      <c r="O23" t="s">
        <v>334</v>
      </c>
      <c r="P23">
        <v>1558.4</v>
      </c>
    </row>
    <row r="24" spans="1:16" x14ac:dyDescent="0.3">
      <c r="A24" t="s">
        <v>19</v>
      </c>
      <c r="B24" t="s">
        <v>545</v>
      </c>
      <c r="C24">
        <v>1463.3000000000002</v>
      </c>
      <c r="D24">
        <v>39</v>
      </c>
      <c r="H24" t="s">
        <v>19</v>
      </c>
      <c r="I24" t="s">
        <v>949</v>
      </c>
      <c r="J24">
        <v>30</v>
      </c>
      <c r="N24" t="s">
        <v>19</v>
      </c>
      <c r="O24" t="s">
        <v>949</v>
      </c>
      <c r="P24">
        <v>2223.9</v>
      </c>
    </row>
    <row r="25" spans="1:16" x14ac:dyDescent="0.3">
      <c r="A25" t="s">
        <v>19</v>
      </c>
      <c r="B25" t="s">
        <v>416</v>
      </c>
      <c r="C25">
        <v>445.79999999999995</v>
      </c>
      <c r="D25">
        <v>6</v>
      </c>
      <c r="H25" t="s">
        <v>19</v>
      </c>
      <c r="I25" t="s">
        <v>1426</v>
      </c>
      <c r="J25">
        <v>1</v>
      </c>
      <c r="N25" t="s">
        <v>19</v>
      </c>
      <c r="O25" t="s">
        <v>1426</v>
      </c>
      <c r="P25">
        <v>26.2</v>
      </c>
    </row>
    <row r="26" spans="1:16" x14ac:dyDescent="0.3">
      <c r="A26" t="s">
        <v>19</v>
      </c>
      <c r="B26" t="s">
        <v>258</v>
      </c>
      <c r="C26">
        <v>273.59999999999997</v>
      </c>
      <c r="D26">
        <v>9</v>
      </c>
      <c r="H26" t="s">
        <v>19</v>
      </c>
      <c r="I26" t="s">
        <v>33</v>
      </c>
      <c r="J26">
        <v>3991</v>
      </c>
      <c r="N26" t="s">
        <v>19</v>
      </c>
      <c r="O26" t="s">
        <v>33</v>
      </c>
      <c r="P26">
        <v>215551.19999999981</v>
      </c>
    </row>
    <row r="27" spans="1:16" x14ac:dyDescent="0.3">
      <c r="A27" t="s">
        <v>19</v>
      </c>
      <c r="B27" t="s">
        <v>186</v>
      </c>
      <c r="C27">
        <v>2690.4</v>
      </c>
      <c r="D27">
        <v>60</v>
      </c>
      <c r="H27" t="s">
        <v>19</v>
      </c>
      <c r="I27" t="s">
        <v>364</v>
      </c>
      <c r="J27">
        <v>45</v>
      </c>
      <c r="N27" t="s">
        <v>19</v>
      </c>
      <c r="O27" t="s">
        <v>364</v>
      </c>
      <c r="P27">
        <v>2687.3999999999996</v>
      </c>
    </row>
    <row r="28" spans="1:16" x14ac:dyDescent="0.3">
      <c r="A28" t="s">
        <v>19</v>
      </c>
      <c r="B28" t="s">
        <v>392</v>
      </c>
      <c r="C28">
        <v>28.4</v>
      </c>
      <c r="D28">
        <v>2</v>
      </c>
      <c r="H28" t="s">
        <v>19</v>
      </c>
      <c r="I28" t="s">
        <v>545</v>
      </c>
      <c r="J28">
        <v>39</v>
      </c>
      <c r="N28" t="s">
        <v>19</v>
      </c>
      <c r="O28" t="s">
        <v>545</v>
      </c>
      <c r="P28">
        <v>1463.3000000000002</v>
      </c>
    </row>
    <row r="29" spans="1:16" x14ac:dyDescent="0.3">
      <c r="A29" t="s">
        <v>19</v>
      </c>
      <c r="B29" t="s">
        <v>670</v>
      </c>
      <c r="C29">
        <v>204.8</v>
      </c>
      <c r="D29">
        <v>4</v>
      </c>
      <c r="H29" t="s">
        <v>19</v>
      </c>
      <c r="I29" t="s">
        <v>416</v>
      </c>
      <c r="J29">
        <v>6</v>
      </c>
      <c r="N29" t="s">
        <v>19</v>
      </c>
      <c r="O29" t="s">
        <v>416</v>
      </c>
      <c r="P29">
        <v>445.79999999999995</v>
      </c>
    </row>
    <row r="30" spans="1:16" x14ac:dyDescent="0.3">
      <c r="A30" t="s">
        <v>19</v>
      </c>
      <c r="B30" t="s">
        <v>802</v>
      </c>
      <c r="C30">
        <v>1607.8999999999999</v>
      </c>
      <c r="D30">
        <v>31</v>
      </c>
      <c r="H30" t="s">
        <v>19</v>
      </c>
      <c r="I30" t="s">
        <v>258</v>
      </c>
      <c r="J30">
        <v>9</v>
      </c>
      <c r="N30" t="s">
        <v>19</v>
      </c>
      <c r="O30" t="s">
        <v>258</v>
      </c>
      <c r="P30">
        <v>273.59999999999997</v>
      </c>
    </row>
    <row r="31" spans="1:16" x14ac:dyDescent="0.3">
      <c r="A31" t="s">
        <v>19</v>
      </c>
      <c r="B31" t="s">
        <v>98</v>
      </c>
      <c r="C31">
        <v>6444.9</v>
      </c>
      <c r="D31">
        <v>88</v>
      </c>
      <c r="H31" t="s">
        <v>19</v>
      </c>
      <c r="I31" t="s">
        <v>186</v>
      </c>
      <c r="J31">
        <v>60</v>
      </c>
      <c r="N31" t="s">
        <v>19</v>
      </c>
      <c r="O31" t="s">
        <v>186</v>
      </c>
      <c r="P31">
        <v>2690.4</v>
      </c>
    </row>
    <row r="32" spans="1:16" x14ac:dyDescent="0.3">
      <c r="A32" t="s">
        <v>19</v>
      </c>
      <c r="B32" t="s">
        <v>49</v>
      </c>
      <c r="C32">
        <v>1809.3</v>
      </c>
      <c r="D32">
        <v>25</v>
      </c>
      <c r="H32" t="s">
        <v>19</v>
      </c>
      <c r="I32" t="s">
        <v>392</v>
      </c>
      <c r="J32">
        <v>2</v>
      </c>
      <c r="N32" t="s">
        <v>19</v>
      </c>
      <c r="O32" t="s">
        <v>392</v>
      </c>
      <c r="P32">
        <v>28.4</v>
      </c>
    </row>
    <row r="33" spans="1:16" x14ac:dyDescent="0.3">
      <c r="A33" t="s">
        <v>19</v>
      </c>
      <c r="B33" t="s">
        <v>188</v>
      </c>
      <c r="C33">
        <v>9680.399999999996</v>
      </c>
      <c r="D33">
        <v>178</v>
      </c>
      <c r="H33" t="s">
        <v>19</v>
      </c>
      <c r="I33" t="s">
        <v>670</v>
      </c>
      <c r="J33">
        <v>4</v>
      </c>
      <c r="N33" t="s">
        <v>19</v>
      </c>
      <c r="O33" t="s">
        <v>670</v>
      </c>
      <c r="P33">
        <v>204.8</v>
      </c>
    </row>
    <row r="34" spans="1:16" x14ac:dyDescent="0.3">
      <c r="A34" t="s">
        <v>19</v>
      </c>
      <c r="B34" t="s">
        <v>52</v>
      </c>
      <c r="C34">
        <v>9414.7999999999993</v>
      </c>
      <c r="D34">
        <v>141</v>
      </c>
      <c r="H34" t="s">
        <v>19</v>
      </c>
      <c r="I34" t="s">
        <v>802</v>
      </c>
      <c r="J34">
        <v>31</v>
      </c>
      <c r="N34" t="s">
        <v>19</v>
      </c>
      <c r="O34" t="s">
        <v>802</v>
      </c>
      <c r="P34">
        <v>1607.8999999999999</v>
      </c>
    </row>
    <row r="35" spans="1:16" x14ac:dyDescent="0.3">
      <c r="A35" t="s">
        <v>19</v>
      </c>
      <c r="B35" t="s">
        <v>338</v>
      </c>
      <c r="C35">
        <v>206.1</v>
      </c>
      <c r="D35">
        <v>6</v>
      </c>
      <c r="H35" t="s">
        <v>19</v>
      </c>
      <c r="I35" t="s">
        <v>98</v>
      </c>
      <c r="J35">
        <v>88</v>
      </c>
      <c r="N35" t="s">
        <v>19</v>
      </c>
      <c r="O35" t="s">
        <v>98</v>
      </c>
      <c r="P35">
        <v>6444.9</v>
      </c>
    </row>
    <row r="36" spans="1:16" x14ac:dyDescent="0.3">
      <c r="A36" t="s">
        <v>19</v>
      </c>
      <c r="B36" t="s">
        <v>158</v>
      </c>
      <c r="C36">
        <v>7691.3</v>
      </c>
      <c r="D36">
        <v>178</v>
      </c>
      <c r="H36" t="s">
        <v>19</v>
      </c>
      <c r="I36" t="s">
        <v>49</v>
      </c>
      <c r="J36">
        <v>25</v>
      </c>
      <c r="N36" t="s">
        <v>19</v>
      </c>
      <c r="O36" t="s">
        <v>49</v>
      </c>
      <c r="P36">
        <v>1809.3</v>
      </c>
    </row>
    <row r="37" spans="1:16" x14ac:dyDescent="0.3">
      <c r="A37" t="s">
        <v>19</v>
      </c>
      <c r="B37" t="s">
        <v>55</v>
      </c>
      <c r="C37">
        <v>37784.900000000016</v>
      </c>
      <c r="D37">
        <v>699</v>
      </c>
      <c r="H37" t="s">
        <v>19</v>
      </c>
      <c r="I37" t="s">
        <v>188</v>
      </c>
      <c r="J37">
        <v>178</v>
      </c>
      <c r="N37" t="s">
        <v>19</v>
      </c>
      <c r="O37" t="s">
        <v>188</v>
      </c>
      <c r="P37">
        <v>9680.399999999996</v>
      </c>
    </row>
    <row r="38" spans="1:16" x14ac:dyDescent="0.3">
      <c r="A38" t="s">
        <v>19</v>
      </c>
      <c r="B38" t="s">
        <v>342</v>
      </c>
      <c r="C38">
        <v>1129.7</v>
      </c>
      <c r="D38">
        <v>23</v>
      </c>
      <c r="H38" t="s">
        <v>19</v>
      </c>
      <c r="I38" t="s">
        <v>52</v>
      </c>
      <c r="J38">
        <v>141</v>
      </c>
      <c r="N38" t="s">
        <v>19</v>
      </c>
      <c r="O38" t="s">
        <v>52</v>
      </c>
      <c r="P38">
        <v>9414.7999999999993</v>
      </c>
    </row>
    <row r="39" spans="1:16" x14ac:dyDescent="0.3">
      <c r="A39" t="s">
        <v>19</v>
      </c>
      <c r="B39" t="s">
        <v>59</v>
      </c>
      <c r="C39">
        <v>20988.9</v>
      </c>
      <c r="D39">
        <v>356</v>
      </c>
      <c r="H39" t="s">
        <v>19</v>
      </c>
      <c r="I39" t="s">
        <v>338</v>
      </c>
      <c r="J39">
        <v>6</v>
      </c>
      <c r="N39" t="s">
        <v>19</v>
      </c>
      <c r="O39" t="s">
        <v>338</v>
      </c>
      <c r="P39">
        <v>206.1</v>
      </c>
    </row>
    <row r="40" spans="1:16" x14ac:dyDescent="0.3">
      <c r="A40" t="s">
        <v>19</v>
      </c>
      <c r="B40" t="s">
        <v>62</v>
      </c>
      <c r="C40">
        <v>98367.099999999977</v>
      </c>
      <c r="D40">
        <v>1768</v>
      </c>
      <c r="H40" t="s">
        <v>19</v>
      </c>
      <c r="I40" t="s">
        <v>158</v>
      </c>
      <c r="J40">
        <v>178</v>
      </c>
      <c r="N40" t="s">
        <v>19</v>
      </c>
      <c r="O40" t="s">
        <v>158</v>
      </c>
      <c r="P40">
        <v>7691.3</v>
      </c>
    </row>
    <row r="41" spans="1:16" x14ac:dyDescent="0.3">
      <c r="A41" t="s">
        <v>19</v>
      </c>
      <c r="B41" t="s">
        <v>103</v>
      </c>
      <c r="C41">
        <v>21911.9</v>
      </c>
      <c r="D41">
        <v>307</v>
      </c>
      <c r="H41" t="s">
        <v>19</v>
      </c>
      <c r="I41" t="s">
        <v>55</v>
      </c>
      <c r="J41">
        <v>699</v>
      </c>
      <c r="N41" t="s">
        <v>19</v>
      </c>
      <c r="O41" t="s">
        <v>55</v>
      </c>
      <c r="P41">
        <v>37784.900000000016</v>
      </c>
    </row>
    <row r="42" spans="1:16" x14ac:dyDescent="0.3">
      <c r="A42" t="s">
        <v>19</v>
      </c>
      <c r="B42" t="s">
        <v>201</v>
      </c>
      <c r="C42">
        <v>5441.2</v>
      </c>
      <c r="D42">
        <v>117</v>
      </c>
      <c r="H42" t="s">
        <v>19</v>
      </c>
      <c r="I42" t="s">
        <v>342</v>
      </c>
      <c r="J42">
        <v>23</v>
      </c>
      <c r="N42" t="s">
        <v>19</v>
      </c>
      <c r="O42" t="s">
        <v>342</v>
      </c>
      <c r="P42">
        <v>1129.7</v>
      </c>
    </row>
    <row r="43" spans="1:16" x14ac:dyDescent="0.3">
      <c r="A43" t="s">
        <v>19</v>
      </c>
      <c r="B43" t="s">
        <v>429</v>
      </c>
      <c r="C43">
        <v>392.8</v>
      </c>
      <c r="D43">
        <v>13</v>
      </c>
      <c r="H43" t="s">
        <v>19</v>
      </c>
      <c r="I43" t="s">
        <v>59</v>
      </c>
      <c r="J43">
        <v>356</v>
      </c>
      <c r="N43" t="s">
        <v>19</v>
      </c>
      <c r="O43" t="s">
        <v>59</v>
      </c>
      <c r="P43">
        <v>20988.9</v>
      </c>
    </row>
    <row r="44" spans="1:16" x14ac:dyDescent="0.3">
      <c r="A44" t="s">
        <v>19</v>
      </c>
      <c r="B44" t="s">
        <v>72</v>
      </c>
      <c r="C44">
        <v>16172.000000000005</v>
      </c>
      <c r="D44">
        <v>364</v>
      </c>
      <c r="H44" t="s">
        <v>19</v>
      </c>
      <c r="I44" t="s">
        <v>62</v>
      </c>
      <c r="J44">
        <v>1768</v>
      </c>
      <c r="N44" t="s">
        <v>19</v>
      </c>
      <c r="O44" t="s">
        <v>62</v>
      </c>
      <c r="P44">
        <v>98367.099999999977</v>
      </c>
    </row>
    <row r="45" spans="1:16" x14ac:dyDescent="0.3">
      <c r="A45" t="s">
        <v>19</v>
      </c>
      <c r="B45" t="s">
        <v>74</v>
      </c>
      <c r="C45">
        <v>4334.9999999999991</v>
      </c>
      <c r="D45">
        <v>95</v>
      </c>
      <c r="H45" t="s">
        <v>19</v>
      </c>
      <c r="I45" t="s">
        <v>103</v>
      </c>
      <c r="J45">
        <v>307</v>
      </c>
      <c r="N45" t="s">
        <v>19</v>
      </c>
      <c r="O45" t="s">
        <v>103</v>
      </c>
      <c r="P45">
        <v>21911.9</v>
      </c>
    </row>
    <row r="46" spans="1:16" x14ac:dyDescent="0.3">
      <c r="A46" t="s">
        <v>19</v>
      </c>
      <c r="B46" t="s">
        <v>77</v>
      </c>
      <c r="C46">
        <v>37449.000000000007</v>
      </c>
      <c r="D46">
        <v>737</v>
      </c>
      <c r="H46" t="s">
        <v>19</v>
      </c>
      <c r="I46" t="s">
        <v>201</v>
      </c>
      <c r="J46">
        <v>117</v>
      </c>
      <c r="N46" t="s">
        <v>19</v>
      </c>
      <c r="O46" t="s">
        <v>201</v>
      </c>
      <c r="P46">
        <v>5441.2</v>
      </c>
    </row>
    <row r="47" spans="1:16" x14ac:dyDescent="0.3">
      <c r="A47" t="s">
        <v>19</v>
      </c>
      <c r="B47" t="s">
        <v>309</v>
      </c>
      <c r="C47">
        <v>2447.5</v>
      </c>
      <c r="D47">
        <v>39</v>
      </c>
      <c r="H47" t="s">
        <v>19</v>
      </c>
      <c r="I47" t="s">
        <v>429</v>
      </c>
      <c r="J47">
        <v>13</v>
      </c>
      <c r="N47" t="s">
        <v>19</v>
      </c>
      <c r="O47" t="s">
        <v>429</v>
      </c>
      <c r="P47">
        <v>392.8</v>
      </c>
    </row>
    <row r="48" spans="1:16" x14ac:dyDescent="0.3">
      <c r="A48" t="s">
        <v>19</v>
      </c>
      <c r="B48" t="s">
        <v>1116</v>
      </c>
      <c r="C48">
        <v>3391.1</v>
      </c>
      <c r="D48">
        <v>56</v>
      </c>
      <c r="H48" t="s">
        <v>19</v>
      </c>
      <c r="I48" t="s">
        <v>72</v>
      </c>
      <c r="J48">
        <v>364</v>
      </c>
      <c r="N48" t="s">
        <v>19</v>
      </c>
      <c r="O48" t="s">
        <v>72</v>
      </c>
      <c r="P48">
        <v>16172.000000000005</v>
      </c>
    </row>
    <row r="49" spans="1:16" x14ac:dyDescent="0.3">
      <c r="A49" t="s">
        <v>19</v>
      </c>
      <c r="B49" t="s">
        <v>700</v>
      </c>
      <c r="C49">
        <v>30.8</v>
      </c>
      <c r="D49">
        <v>2</v>
      </c>
      <c r="H49" t="s">
        <v>19</v>
      </c>
      <c r="I49" t="s">
        <v>74</v>
      </c>
      <c r="J49">
        <v>95</v>
      </c>
      <c r="N49" t="s">
        <v>19</v>
      </c>
      <c r="O49" t="s">
        <v>74</v>
      </c>
      <c r="P49">
        <v>4334.9999999999991</v>
      </c>
    </row>
    <row r="50" spans="1:16" x14ac:dyDescent="0.3">
      <c r="A50" t="s">
        <v>19</v>
      </c>
      <c r="B50" t="s">
        <v>268</v>
      </c>
      <c r="C50">
        <v>332.3</v>
      </c>
      <c r="D50">
        <v>8</v>
      </c>
      <c r="H50" t="s">
        <v>19</v>
      </c>
      <c r="I50" t="s">
        <v>77</v>
      </c>
      <c r="J50">
        <v>737</v>
      </c>
      <c r="N50" t="s">
        <v>19</v>
      </c>
      <c r="O50" t="s">
        <v>77</v>
      </c>
      <c r="P50">
        <v>37449.000000000007</v>
      </c>
    </row>
    <row r="51" spans="1:16" x14ac:dyDescent="0.3">
      <c r="A51" t="s">
        <v>19</v>
      </c>
      <c r="B51" t="s">
        <v>377</v>
      </c>
      <c r="C51">
        <v>3175.9999999999995</v>
      </c>
      <c r="D51">
        <v>52</v>
      </c>
      <c r="H51" t="s">
        <v>19</v>
      </c>
      <c r="I51" t="s">
        <v>309</v>
      </c>
      <c r="J51">
        <v>39</v>
      </c>
      <c r="N51" t="s">
        <v>19</v>
      </c>
      <c r="O51" t="s">
        <v>309</v>
      </c>
      <c r="P51">
        <v>2447.5</v>
      </c>
    </row>
    <row r="52" spans="1:16" x14ac:dyDescent="0.3">
      <c r="A52" t="s">
        <v>19</v>
      </c>
      <c r="B52" t="s">
        <v>108</v>
      </c>
      <c r="C52">
        <v>20939.600000000002</v>
      </c>
      <c r="D52">
        <v>295</v>
      </c>
      <c r="H52" t="s">
        <v>19</v>
      </c>
      <c r="I52" t="s">
        <v>1116</v>
      </c>
      <c r="J52">
        <v>56</v>
      </c>
      <c r="N52" t="s">
        <v>19</v>
      </c>
      <c r="O52" t="s">
        <v>1116</v>
      </c>
      <c r="P52">
        <v>3391.1</v>
      </c>
    </row>
    <row r="53" spans="1:16" x14ac:dyDescent="0.3">
      <c r="A53" t="s">
        <v>19</v>
      </c>
      <c r="B53" t="s">
        <v>110</v>
      </c>
      <c r="C53">
        <v>10185.899999999996</v>
      </c>
      <c r="D53">
        <v>195</v>
      </c>
      <c r="H53" t="s">
        <v>19</v>
      </c>
      <c r="I53" t="s">
        <v>700</v>
      </c>
      <c r="J53">
        <v>2</v>
      </c>
      <c r="N53" t="s">
        <v>19</v>
      </c>
      <c r="O53" t="s">
        <v>700</v>
      </c>
      <c r="P53">
        <v>30.8</v>
      </c>
    </row>
    <row r="54" spans="1:16" x14ac:dyDescent="0.3">
      <c r="A54" t="s">
        <v>19</v>
      </c>
      <c r="B54" t="s">
        <v>292</v>
      </c>
      <c r="C54">
        <v>958.7</v>
      </c>
      <c r="D54">
        <v>20</v>
      </c>
      <c r="H54" t="s">
        <v>19</v>
      </c>
      <c r="I54" t="s">
        <v>268</v>
      </c>
      <c r="J54">
        <v>8</v>
      </c>
      <c r="N54" t="s">
        <v>19</v>
      </c>
      <c r="O54" t="s">
        <v>268</v>
      </c>
      <c r="P54">
        <v>332.3</v>
      </c>
    </row>
    <row r="55" spans="1:16" x14ac:dyDescent="0.3">
      <c r="A55" t="s">
        <v>19</v>
      </c>
      <c r="B55" t="s">
        <v>79</v>
      </c>
      <c r="C55">
        <v>323</v>
      </c>
      <c r="D55">
        <v>6</v>
      </c>
      <c r="H55" t="s">
        <v>19</v>
      </c>
      <c r="I55" t="s">
        <v>377</v>
      </c>
      <c r="J55">
        <v>52</v>
      </c>
      <c r="N55" t="s">
        <v>19</v>
      </c>
      <c r="O55" t="s">
        <v>377</v>
      </c>
      <c r="P55">
        <v>3175.9999999999995</v>
      </c>
    </row>
    <row r="56" spans="1:16" x14ac:dyDescent="0.3">
      <c r="A56" t="s">
        <v>19</v>
      </c>
      <c r="B56" t="s">
        <v>608</v>
      </c>
      <c r="C56">
        <v>167.70000000000002</v>
      </c>
      <c r="D56">
        <v>5</v>
      </c>
      <c r="H56" t="s">
        <v>19</v>
      </c>
      <c r="I56" t="s">
        <v>108</v>
      </c>
      <c r="J56">
        <v>295</v>
      </c>
      <c r="N56" t="s">
        <v>19</v>
      </c>
      <c r="O56" t="s">
        <v>108</v>
      </c>
      <c r="P56">
        <v>20939.600000000002</v>
      </c>
    </row>
    <row r="57" spans="1:16" x14ac:dyDescent="0.3">
      <c r="A57" t="s">
        <v>19</v>
      </c>
      <c r="B57" t="s">
        <v>113</v>
      </c>
      <c r="C57">
        <v>3978.5</v>
      </c>
      <c r="D57">
        <v>94</v>
      </c>
      <c r="H57" t="s">
        <v>19</v>
      </c>
      <c r="I57" t="s">
        <v>110</v>
      </c>
      <c r="J57">
        <v>195</v>
      </c>
      <c r="N57" t="s">
        <v>19</v>
      </c>
      <c r="O57" t="s">
        <v>110</v>
      </c>
      <c r="P57">
        <v>10185.899999999996</v>
      </c>
    </row>
    <row r="58" spans="1:16" x14ac:dyDescent="0.3">
      <c r="A58" t="s">
        <v>19</v>
      </c>
      <c r="B58" t="s">
        <v>997</v>
      </c>
      <c r="C58">
        <v>1405</v>
      </c>
      <c r="D58">
        <v>28</v>
      </c>
      <c r="H58" t="s">
        <v>19</v>
      </c>
      <c r="I58" t="s">
        <v>292</v>
      </c>
      <c r="J58">
        <v>20</v>
      </c>
      <c r="N58" t="s">
        <v>19</v>
      </c>
      <c r="O58" t="s">
        <v>292</v>
      </c>
      <c r="P58">
        <v>958.7</v>
      </c>
    </row>
    <row r="59" spans="1:16" x14ac:dyDescent="0.3">
      <c r="A59" t="s">
        <v>19</v>
      </c>
      <c r="B59" t="s">
        <v>82</v>
      </c>
      <c r="C59">
        <v>9869.0999999999985</v>
      </c>
      <c r="D59">
        <v>179</v>
      </c>
      <c r="H59" t="s">
        <v>19</v>
      </c>
      <c r="I59" t="s">
        <v>79</v>
      </c>
      <c r="J59">
        <v>6</v>
      </c>
      <c r="N59" t="s">
        <v>19</v>
      </c>
      <c r="O59" t="s">
        <v>79</v>
      </c>
      <c r="P59">
        <v>323</v>
      </c>
    </row>
    <row r="60" spans="1:16" x14ac:dyDescent="0.3">
      <c r="A60" t="s">
        <v>19</v>
      </c>
      <c r="B60" t="s">
        <v>243</v>
      </c>
      <c r="C60">
        <v>615.29999999999995</v>
      </c>
      <c r="D60">
        <v>15</v>
      </c>
      <c r="H60" t="s">
        <v>19</v>
      </c>
      <c r="I60" t="s">
        <v>608</v>
      </c>
      <c r="J60">
        <v>5</v>
      </c>
      <c r="N60" t="s">
        <v>19</v>
      </c>
      <c r="O60" t="s">
        <v>608</v>
      </c>
      <c r="P60">
        <v>167.70000000000002</v>
      </c>
    </row>
    <row r="61" spans="1:16" x14ac:dyDescent="0.3">
      <c r="A61" t="s">
        <v>19</v>
      </c>
      <c r="B61" t="s">
        <v>1911</v>
      </c>
      <c r="C61">
        <v>285</v>
      </c>
      <c r="D61">
        <v>3</v>
      </c>
      <c r="H61" t="s">
        <v>19</v>
      </c>
      <c r="I61" t="s">
        <v>113</v>
      </c>
      <c r="J61">
        <v>94</v>
      </c>
      <c r="N61" t="s">
        <v>19</v>
      </c>
      <c r="O61" t="s">
        <v>113</v>
      </c>
      <c r="P61">
        <v>3978.5</v>
      </c>
    </row>
    <row r="62" spans="1:16" x14ac:dyDescent="0.3">
      <c r="A62" t="s">
        <v>2566</v>
      </c>
      <c r="C62">
        <v>649019.79999999981</v>
      </c>
      <c r="D62">
        <v>11997</v>
      </c>
      <c r="H62" t="s">
        <v>19</v>
      </c>
      <c r="I62" t="s">
        <v>997</v>
      </c>
      <c r="J62">
        <v>28</v>
      </c>
      <c r="N62" t="s">
        <v>19</v>
      </c>
      <c r="O62" t="s">
        <v>997</v>
      </c>
      <c r="P62">
        <v>1405</v>
      </c>
    </row>
    <row r="63" spans="1:16" x14ac:dyDescent="0.3">
      <c r="A63" t="s">
        <v>2558</v>
      </c>
      <c r="C63">
        <v>649019.79999999981</v>
      </c>
      <c r="D63">
        <v>11997</v>
      </c>
      <c r="H63" t="s">
        <v>19</v>
      </c>
      <c r="I63" t="s">
        <v>82</v>
      </c>
      <c r="J63">
        <v>179</v>
      </c>
      <c r="N63" t="s">
        <v>19</v>
      </c>
      <c r="O63" t="s">
        <v>82</v>
      </c>
      <c r="P63">
        <v>9869.0999999999985</v>
      </c>
    </row>
    <row r="64" spans="1:16" x14ac:dyDescent="0.3">
      <c r="H64" t="s">
        <v>19</v>
      </c>
      <c r="I64" t="s">
        <v>243</v>
      </c>
      <c r="J64">
        <v>15</v>
      </c>
      <c r="N64" t="s">
        <v>19</v>
      </c>
      <c r="O64" t="s">
        <v>243</v>
      </c>
      <c r="P64">
        <v>615.29999999999995</v>
      </c>
    </row>
    <row r="65" spans="8:16" x14ac:dyDescent="0.3">
      <c r="H65" t="s">
        <v>19</v>
      </c>
      <c r="I65" t="s">
        <v>1911</v>
      </c>
      <c r="J65">
        <v>3</v>
      </c>
      <c r="N65" t="s">
        <v>19</v>
      </c>
      <c r="O65" t="s">
        <v>1911</v>
      </c>
      <c r="P65">
        <v>285</v>
      </c>
    </row>
    <row r="66" spans="8:16" x14ac:dyDescent="0.3">
      <c r="H66" t="s">
        <v>2566</v>
      </c>
      <c r="J66">
        <v>11997</v>
      </c>
      <c r="N66" t="s">
        <v>2566</v>
      </c>
      <c r="P66">
        <v>649019.79999999981</v>
      </c>
    </row>
    <row r="67" spans="8:16" x14ac:dyDescent="0.3">
      <c r="H67" t="s">
        <v>2558</v>
      </c>
      <c r="J67">
        <v>11997</v>
      </c>
      <c r="N67" t="s">
        <v>2558</v>
      </c>
      <c r="P67">
        <v>649019.79999999981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8FF1-10EA-42F7-A512-BA8298372365}">
  <dimension ref="A3:B19"/>
  <sheetViews>
    <sheetView workbookViewId="0">
      <selection activeCell="B10" sqref="A3:B19"/>
    </sheetView>
  </sheetViews>
  <sheetFormatPr defaultRowHeight="14.4" x14ac:dyDescent="0.3"/>
  <cols>
    <col min="1" max="1" width="12.44140625" bestFit="1" customWidth="1"/>
    <col min="2" max="2" width="12.21875" bestFit="1" customWidth="1"/>
  </cols>
  <sheetData>
    <row r="3" spans="1:2" x14ac:dyDescent="0.3">
      <c r="A3" s="11" t="s">
        <v>2557</v>
      </c>
      <c r="B3" t="s">
        <v>2549</v>
      </c>
    </row>
    <row r="4" spans="1:2" x14ac:dyDescent="0.3">
      <c r="A4" s="12">
        <v>0</v>
      </c>
      <c r="B4">
        <v>175</v>
      </c>
    </row>
    <row r="5" spans="1:2" x14ac:dyDescent="0.3">
      <c r="A5" s="12">
        <v>1</v>
      </c>
      <c r="B5">
        <v>888</v>
      </c>
    </row>
    <row r="6" spans="1:2" x14ac:dyDescent="0.3">
      <c r="A6" s="12">
        <v>2</v>
      </c>
      <c r="B6">
        <v>538</v>
      </c>
    </row>
    <row r="7" spans="1:2" x14ac:dyDescent="0.3">
      <c r="A7" s="12">
        <v>3</v>
      </c>
      <c r="B7">
        <v>344</v>
      </c>
    </row>
    <row r="8" spans="1:2" x14ac:dyDescent="0.3">
      <c r="A8" s="12">
        <v>4</v>
      </c>
      <c r="B8">
        <v>200</v>
      </c>
    </row>
    <row r="9" spans="1:2" x14ac:dyDescent="0.3">
      <c r="A9" s="12">
        <v>5</v>
      </c>
      <c r="B9">
        <v>94</v>
      </c>
    </row>
    <row r="10" spans="1:2" x14ac:dyDescent="0.3">
      <c r="A10" s="12">
        <v>6</v>
      </c>
      <c r="B10">
        <v>51</v>
      </c>
    </row>
    <row r="11" spans="1:2" x14ac:dyDescent="0.3">
      <c r="A11" s="12">
        <v>7</v>
      </c>
      <c r="B11">
        <v>32</v>
      </c>
    </row>
    <row r="12" spans="1:2" x14ac:dyDescent="0.3">
      <c r="A12" s="12">
        <v>8</v>
      </c>
      <c r="B12">
        <v>23</v>
      </c>
    </row>
    <row r="13" spans="1:2" x14ac:dyDescent="0.3">
      <c r="A13" s="12">
        <v>9</v>
      </c>
      <c r="B13">
        <v>9</v>
      </c>
    </row>
    <row r="14" spans="1:2" x14ac:dyDescent="0.3">
      <c r="A14" s="12">
        <v>10</v>
      </c>
      <c r="B14">
        <v>8</v>
      </c>
    </row>
    <row r="15" spans="1:2" x14ac:dyDescent="0.3">
      <c r="A15" s="12">
        <v>11</v>
      </c>
      <c r="B15">
        <v>11</v>
      </c>
    </row>
    <row r="16" spans="1:2" x14ac:dyDescent="0.3">
      <c r="A16" s="12">
        <v>12</v>
      </c>
      <c r="B16">
        <v>4</v>
      </c>
    </row>
    <row r="17" spans="1:2" x14ac:dyDescent="0.3">
      <c r="A17" s="12">
        <v>13</v>
      </c>
      <c r="B17">
        <v>10</v>
      </c>
    </row>
    <row r="18" spans="1:2" x14ac:dyDescent="0.3">
      <c r="A18" s="12">
        <v>14</v>
      </c>
      <c r="B18">
        <v>13</v>
      </c>
    </row>
    <row r="19" spans="1:2" x14ac:dyDescent="0.3">
      <c r="A19" s="12" t="s">
        <v>2558</v>
      </c>
      <c r="B19">
        <v>2400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0367-0D97-4DC3-893B-EC676033EFC9}">
  <dimension ref="A3:F10"/>
  <sheetViews>
    <sheetView workbookViewId="0">
      <selection activeCell="D7" sqref="D7"/>
    </sheetView>
  </sheetViews>
  <sheetFormatPr defaultRowHeight="14.4" x14ac:dyDescent="0.3"/>
  <cols>
    <col min="1" max="1" width="12.4414062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11" t="s">
        <v>2549</v>
      </c>
      <c r="B3" s="11" t="s">
        <v>2559</v>
      </c>
    </row>
    <row r="4" spans="1:6" x14ac:dyDescent="0.3">
      <c r="A4" s="11" t="s">
        <v>2557</v>
      </c>
      <c r="B4" t="s">
        <v>2560</v>
      </c>
      <c r="C4" t="s">
        <v>2561</v>
      </c>
      <c r="D4" t="s">
        <v>2562</v>
      </c>
      <c r="E4" t="s">
        <v>2563</v>
      </c>
      <c r="F4" t="s">
        <v>2558</v>
      </c>
    </row>
    <row r="5" spans="1:6" x14ac:dyDescent="0.3">
      <c r="A5" s="12">
        <v>1</v>
      </c>
      <c r="B5">
        <v>15</v>
      </c>
      <c r="C5">
        <v>4</v>
      </c>
      <c r="D5">
        <v>1</v>
      </c>
      <c r="E5">
        <v>1</v>
      </c>
      <c r="F5">
        <v>21</v>
      </c>
    </row>
    <row r="6" spans="1:6" x14ac:dyDescent="0.3">
      <c r="A6" s="12">
        <v>2</v>
      </c>
      <c r="B6">
        <v>62</v>
      </c>
      <c r="C6">
        <v>55</v>
      </c>
      <c r="D6">
        <v>5</v>
      </c>
      <c r="E6">
        <v>5</v>
      </c>
      <c r="F6">
        <v>127</v>
      </c>
    </row>
    <row r="7" spans="1:6" x14ac:dyDescent="0.3">
      <c r="A7" s="12">
        <v>3</v>
      </c>
      <c r="B7">
        <v>247</v>
      </c>
      <c r="C7">
        <v>190</v>
      </c>
      <c r="D7">
        <v>21</v>
      </c>
      <c r="E7">
        <v>37</v>
      </c>
      <c r="F7">
        <v>495</v>
      </c>
    </row>
    <row r="8" spans="1:6" x14ac:dyDescent="0.3">
      <c r="A8" s="12">
        <v>4</v>
      </c>
      <c r="B8">
        <v>546</v>
      </c>
      <c r="C8">
        <v>413</v>
      </c>
      <c r="D8">
        <v>28</v>
      </c>
      <c r="E8">
        <v>49</v>
      </c>
      <c r="F8">
        <v>1036</v>
      </c>
    </row>
    <row r="9" spans="1:6" x14ac:dyDescent="0.3">
      <c r="A9" s="12">
        <v>5</v>
      </c>
      <c r="B9">
        <v>361</v>
      </c>
      <c r="C9">
        <v>297</v>
      </c>
      <c r="D9">
        <v>20</v>
      </c>
      <c r="E9">
        <v>43</v>
      </c>
      <c r="F9">
        <v>721</v>
      </c>
    </row>
    <row r="10" spans="1:6" x14ac:dyDescent="0.3">
      <c r="A10" s="12" t="s">
        <v>2558</v>
      </c>
      <c r="B10">
        <v>1231</v>
      </c>
      <c r="C10">
        <v>959</v>
      </c>
      <c r="D10">
        <v>75</v>
      </c>
      <c r="E10">
        <v>135</v>
      </c>
      <c r="F10">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H13"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11" sqref="E11"/>
    </sheetView>
  </sheetViews>
  <sheetFormatPr defaultRowHeight="14.4" x14ac:dyDescent="0.3"/>
  <cols>
    <col min="1" max="1" width="3.6640625" customWidth="1"/>
    <col min="2" max="2" width="52.77734375" customWidth="1"/>
  </cols>
  <sheetData>
    <row r="2" spans="2:2" x14ac:dyDescent="0.3">
      <c r="B2" s="3" t="s">
        <v>2503</v>
      </c>
    </row>
    <row r="3" spans="2:2" x14ac:dyDescent="0.3">
      <c r="B3" s="16" t="s">
        <v>2504</v>
      </c>
    </row>
    <row r="4" spans="2:2" x14ac:dyDescent="0.3">
      <c r="B4" s="16" t="s">
        <v>2505</v>
      </c>
    </row>
    <row r="5" spans="2:2" x14ac:dyDescent="0.3">
      <c r="B5" s="16" t="s">
        <v>2506</v>
      </c>
    </row>
    <row r="6" spans="2:2" x14ac:dyDescent="0.3">
      <c r="B6" s="16" t="s">
        <v>2507</v>
      </c>
    </row>
    <row r="7" spans="2:2" x14ac:dyDescent="0.3">
      <c r="B7" s="16" t="s">
        <v>2508</v>
      </c>
    </row>
    <row r="10" spans="2:2" x14ac:dyDescent="0.3">
      <c r="B10" s="3" t="s">
        <v>2509</v>
      </c>
    </row>
    <row r="11" spans="2:2" x14ac:dyDescent="0.3">
      <c r="B11" s="17" t="s">
        <v>2510</v>
      </c>
    </row>
    <row r="12" spans="2:2" x14ac:dyDescent="0.3">
      <c r="B12" s="17" t="s">
        <v>2511</v>
      </c>
    </row>
    <row r="13" spans="2:2" x14ac:dyDescent="0.3">
      <c r="B13" s="17"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4913-C8C6-4F1D-998E-2BE64A034D30}">
  <dimension ref="A2:K27"/>
  <sheetViews>
    <sheetView workbookViewId="0">
      <selection activeCell="H6" sqref="H6"/>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s>
  <sheetData>
    <row r="2" spans="1:11" x14ac:dyDescent="0.3">
      <c r="G2" t="s">
        <v>2553</v>
      </c>
    </row>
    <row r="3" spans="1:11" x14ac:dyDescent="0.3">
      <c r="A3" t="s">
        <v>2549</v>
      </c>
      <c r="B3" t="s">
        <v>2548</v>
      </c>
      <c r="C3" t="s">
        <v>2550</v>
      </c>
      <c r="D3" t="s">
        <v>2551</v>
      </c>
      <c r="E3" t="s">
        <v>2552</v>
      </c>
      <c r="G3" s="10" t="s">
        <v>2538</v>
      </c>
      <c r="H3" s="10" t="s">
        <v>2554</v>
      </c>
      <c r="I3" s="10" t="s">
        <v>4</v>
      </c>
      <c r="J3" s="10" t="s">
        <v>2555</v>
      </c>
      <c r="K3" s="10" t="s">
        <v>2556</v>
      </c>
    </row>
    <row r="4" spans="1:11" x14ac:dyDescent="0.3">
      <c r="A4">
        <v>2400</v>
      </c>
      <c r="B4">
        <v>11997</v>
      </c>
      <c r="C4">
        <v>649019.80000000144</v>
      </c>
      <c r="D4">
        <v>3.9620833333333332</v>
      </c>
      <c r="E4">
        <v>2.3424999999999998</v>
      </c>
      <c r="G4">
        <f>GETPIVOTDATA("Count of TX ID",$A$3)</f>
        <v>2400</v>
      </c>
      <c r="H4">
        <f>GETPIVOTDATA("Sum of Quantity",$A$3)</f>
        <v>11997</v>
      </c>
      <c r="I4">
        <f>GETPIVOTDATA("Sum of Amount",$A$3)</f>
        <v>649019.80000000144</v>
      </c>
      <c r="J4">
        <f>GETPIVOTDATA("Average of Rating C",$A$3)</f>
        <v>3.9620833333333332</v>
      </c>
      <c r="K4">
        <f>GETPIVOTDATA("Average of Days to Deliver",$A$3)</f>
        <v>2.3424999999999998</v>
      </c>
    </row>
    <row r="13" spans="1:11" x14ac:dyDescent="0.3">
      <c r="A13" s="11" t="s">
        <v>2557</v>
      </c>
      <c r="B13" t="s">
        <v>2548</v>
      </c>
      <c r="C13" t="s">
        <v>2550</v>
      </c>
    </row>
    <row r="14" spans="1:11" x14ac:dyDescent="0.3">
      <c r="A14" s="12">
        <v>1</v>
      </c>
      <c r="B14">
        <v>546</v>
      </c>
      <c r="C14" s="13">
        <v>32413.300000000003</v>
      </c>
    </row>
    <row r="15" spans="1:11" x14ac:dyDescent="0.3">
      <c r="A15" s="12">
        <v>2</v>
      </c>
      <c r="B15">
        <v>905</v>
      </c>
      <c r="C15" s="13">
        <v>49562.999999999993</v>
      </c>
    </row>
    <row r="16" spans="1:11" x14ac:dyDescent="0.3">
      <c r="A16" s="12">
        <v>3</v>
      </c>
      <c r="B16">
        <v>796</v>
      </c>
      <c r="C16" s="13">
        <v>41700.400000000016</v>
      </c>
    </row>
    <row r="17" spans="1:3" x14ac:dyDescent="0.3">
      <c r="A17" s="12">
        <v>4</v>
      </c>
      <c r="B17">
        <v>913</v>
      </c>
      <c r="C17" s="13">
        <v>46782.599999999984</v>
      </c>
    </row>
    <row r="18" spans="1:3" x14ac:dyDescent="0.3">
      <c r="A18" s="12">
        <v>5</v>
      </c>
      <c r="B18">
        <v>844</v>
      </c>
      <c r="C18" s="13">
        <v>42676.100000000006</v>
      </c>
    </row>
    <row r="19" spans="1:3" x14ac:dyDescent="0.3">
      <c r="A19" s="12">
        <v>6</v>
      </c>
      <c r="B19">
        <v>1202</v>
      </c>
      <c r="C19" s="13">
        <v>62910.7</v>
      </c>
    </row>
    <row r="20" spans="1:3" x14ac:dyDescent="0.3">
      <c r="A20" s="12">
        <v>7</v>
      </c>
      <c r="B20">
        <v>935</v>
      </c>
      <c r="C20" s="13">
        <v>50332.200000000004</v>
      </c>
    </row>
    <row r="21" spans="1:3" x14ac:dyDescent="0.3">
      <c r="A21" s="12">
        <v>8</v>
      </c>
      <c r="B21">
        <v>1128</v>
      </c>
      <c r="C21" s="13">
        <v>58760.599999999977</v>
      </c>
    </row>
    <row r="22" spans="1:3" x14ac:dyDescent="0.3">
      <c r="A22" s="12">
        <v>9</v>
      </c>
      <c r="B22">
        <v>1007</v>
      </c>
      <c r="C22" s="13">
        <v>52017.299999999996</v>
      </c>
    </row>
    <row r="23" spans="1:3" x14ac:dyDescent="0.3">
      <c r="A23" s="12">
        <v>10</v>
      </c>
      <c r="B23">
        <v>1128</v>
      </c>
      <c r="C23" s="13">
        <v>64915.700000000033</v>
      </c>
    </row>
    <row r="24" spans="1:3" x14ac:dyDescent="0.3">
      <c r="A24" s="12">
        <v>11</v>
      </c>
      <c r="B24">
        <v>861</v>
      </c>
      <c r="C24" s="13">
        <v>45943.80000000001</v>
      </c>
    </row>
    <row r="25" spans="1:3" x14ac:dyDescent="0.3">
      <c r="A25" s="12">
        <v>12</v>
      </c>
      <c r="B25">
        <v>944</v>
      </c>
      <c r="C25" s="13">
        <v>55077.900000000031</v>
      </c>
    </row>
    <row r="26" spans="1:3" x14ac:dyDescent="0.3">
      <c r="A26" s="12">
        <v>13</v>
      </c>
      <c r="B26">
        <v>788</v>
      </c>
      <c r="C26" s="13">
        <v>45926.19999999999</v>
      </c>
    </row>
    <row r="27" spans="1:3" x14ac:dyDescent="0.3">
      <c r="A27" s="12" t="s">
        <v>2558</v>
      </c>
      <c r="B27">
        <v>11997</v>
      </c>
      <c r="C27" s="13">
        <v>649019.79999999993</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AD1"/>
  <sheetViews>
    <sheetView tabSelected="1" zoomScale="60" zoomScaleNormal="60" workbookViewId="0">
      <selection sqref="A1:AC1"/>
    </sheetView>
  </sheetViews>
  <sheetFormatPr defaultRowHeight="14.4" x14ac:dyDescent="0.3"/>
  <cols>
    <col min="1" max="1" width="3.33203125" customWidth="1"/>
    <col min="2" max="2" width="22.21875" customWidth="1"/>
    <col min="3" max="4" width="3.33203125" customWidth="1"/>
    <col min="26" max="26" width="3.33203125" customWidth="1"/>
    <col min="31" max="31" width="8.109375" customWidth="1"/>
  </cols>
  <sheetData>
    <row r="1" spans="1:30" s="22" customFormat="1" ht="47.4" x14ac:dyDescent="0.9">
      <c r="A1" s="24" t="s">
        <v>2567</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3"/>
    </row>
  </sheetData>
  <mergeCells count="1">
    <mergeCell ref="A1:AC1"/>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D24"/>
  <sheetViews>
    <sheetView workbookViewId="0">
      <selection activeCell="L16" sqref="L16"/>
    </sheetView>
  </sheetViews>
  <sheetFormatPr defaultRowHeight="14.4" x14ac:dyDescent="0.3"/>
  <cols>
    <col min="1" max="1" width="3.33203125" customWidth="1"/>
  </cols>
  <sheetData>
    <row r="3" spans="2:4" x14ac:dyDescent="0.3">
      <c r="B3" t="s">
        <v>2518</v>
      </c>
    </row>
    <row r="5" spans="2:4" x14ac:dyDescent="0.3">
      <c r="B5" t="s">
        <v>2519</v>
      </c>
    </row>
    <row r="6" spans="2:4" x14ac:dyDescent="0.3">
      <c r="B6" s="4"/>
      <c r="C6" t="s">
        <v>2520</v>
      </c>
      <c r="D6" t="s">
        <v>2526</v>
      </c>
    </row>
    <row r="7" spans="2:4" x14ac:dyDescent="0.3">
      <c r="B7" s="5"/>
      <c r="C7" t="s">
        <v>2521</v>
      </c>
      <c r="D7" t="s">
        <v>2527</v>
      </c>
    </row>
    <row r="8" spans="2:4" x14ac:dyDescent="0.3">
      <c r="B8" s="6"/>
      <c r="C8" t="s">
        <v>2522</v>
      </c>
      <c r="D8" t="s">
        <v>2528</v>
      </c>
    </row>
    <row r="9" spans="2:4" x14ac:dyDescent="0.3">
      <c r="B9" s="7"/>
      <c r="C9" t="s">
        <v>2523</v>
      </c>
      <c r="D9" t="s">
        <v>2529</v>
      </c>
    </row>
    <row r="10" spans="2:4" x14ac:dyDescent="0.3">
      <c r="B10" s="8"/>
      <c r="C10" t="s">
        <v>2524</v>
      </c>
      <c r="D10" t="s">
        <v>2530</v>
      </c>
    </row>
    <row r="11" spans="2:4" x14ac:dyDescent="0.3">
      <c r="B11" s="2"/>
      <c r="C11" t="s">
        <v>2525</v>
      </c>
      <c r="D11" t="s">
        <v>2531</v>
      </c>
    </row>
    <row r="13" spans="2:4" x14ac:dyDescent="0.3">
      <c r="B13" t="s">
        <v>2532</v>
      </c>
    </row>
    <row r="14" spans="2:4" x14ac:dyDescent="0.3">
      <c r="B14" t="s">
        <v>2533</v>
      </c>
      <c r="C14" t="s">
        <v>2538</v>
      </c>
    </row>
    <row r="15" spans="2:4" x14ac:dyDescent="0.3">
      <c r="B15" t="s">
        <v>2534</v>
      </c>
      <c r="C15" t="s">
        <v>2</v>
      </c>
    </row>
    <row r="16" spans="2:4"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9"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How our customers like to buy</vt:lpstr>
      <vt:lpstr>Sheet3</vt:lpstr>
      <vt:lpstr>Sheet4</vt:lpstr>
      <vt:lpstr>Sheet5</vt:lpstr>
      <vt:lpstr>Sheet6</vt:lpstr>
      <vt:lpstr>Sheet1</vt:lpstr>
      <vt:lpstr>Sheet8</vt:lpstr>
      <vt:lpstr>Sheet9</vt:lpstr>
      <vt:lpstr>Data</vt:lpstr>
      <vt:lpstr>Questions &amp; KPIs</vt:lpstr>
      <vt:lpstr>Pivots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Cheranjeevi M</cp:lastModifiedBy>
  <dcterms:created xsi:type="dcterms:W3CDTF">2025-06-13T02:42:26Z</dcterms:created>
  <dcterms:modified xsi:type="dcterms:W3CDTF">2026-07-30T17:21:28Z</dcterms:modified>
</cp:coreProperties>
</file>